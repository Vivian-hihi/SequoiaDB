
<file path=[Content_Types].xml><?xml version="1.0" encoding="utf-8"?>
<Types xmlns="http://schemas.openxmlformats.org/package/2006/content-types">
  <Override PartName="/xl/charts/chart6.xml" ContentType="application/vnd.openxmlformats-officedocument.drawingml.chart+xml"/>
  <Override PartName="/xl/charts/chart20.xml" ContentType="application/vnd.openxmlformats-officedocument.drawingml.char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sheets/sheet1.xml" ContentType="application/vnd.openxmlformats-officedocument.spreadsheetml.workshee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docProps/core.xml" ContentType="application/vnd.openxmlformats-package.core-properties+xml"/>
  <Default Extension="bin" ContentType="application/vnd.openxmlformats-officedocument.spreadsheetml.printerSettings"/>
  <Override PartName="/xl/charts/chart7.xml" ContentType="application/vnd.openxmlformats-officedocument.drawingml.chart+xml"/>
  <Override PartName="/xl/charts/chart10.xml" ContentType="application/vnd.openxmlformats-officedocument.drawingml.chart+xml"/>
  <Override PartName="/xl/drawings/drawing9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firstSheet="1" activeTab="8"/>
  </bookViews>
  <sheets>
    <sheet name="GTS(single thread)" sheetId="1" r:id="rId1"/>
    <sheet name="GTS(2 threads) " sheetId="5" r:id="rId2"/>
    <sheet name="GTS(4 threads)" sheetId="3" r:id="rId3"/>
    <sheet name="GTS Chart" sheetId="4" r:id="rId4"/>
    <sheet name="Seq(1 seq, coord)" sheetId="6" r:id="rId5"/>
    <sheet name="Seq(1 seq per thread, coord)" sheetId="7" r:id="rId6"/>
    <sheet name="Seq(1 seq, cata)" sheetId="8" r:id="rId7"/>
    <sheet name="Seq(1 seq per thread, cata)" sheetId="9" r:id="rId8"/>
    <sheet name="Sequence(final)" sheetId="10" r:id="rId9"/>
  </sheets>
  <calcPr calcId="124519"/>
</workbook>
</file>

<file path=xl/calcChain.xml><?xml version="1.0" encoding="utf-8"?>
<calcChain xmlns="http://schemas.openxmlformats.org/spreadsheetml/2006/main">
  <c r="G51" i="10"/>
  <c r="D51"/>
  <c r="F51" s="1"/>
  <c r="G50"/>
  <c r="D50"/>
  <c r="F50" s="1"/>
  <c r="G49"/>
  <c r="F49"/>
  <c r="D49"/>
  <c r="G48"/>
  <c r="D48"/>
  <c r="F48" s="1"/>
  <c r="G47"/>
  <c r="F47"/>
  <c r="D47"/>
  <c r="G46"/>
  <c r="D46"/>
  <c r="F46" s="1"/>
  <c r="G45"/>
  <c r="F45"/>
  <c r="D45"/>
  <c r="G44"/>
  <c r="D44"/>
  <c r="F44" s="1"/>
  <c r="G43"/>
  <c r="F43"/>
  <c r="D43"/>
  <c r="G39"/>
  <c r="D39"/>
  <c r="F39" s="1"/>
  <c r="G38"/>
  <c r="F38"/>
  <c r="D38"/>
  <c r="G37"/>
  <c r="D37"/>
  <c r="F37" s="1"/>
  <c r="G36"/>
  <c r="F36"/>
  <c r="D36"/>
  <c r="G35"/>
  <c r="D35"/>
  <c r="F35" s="1"/>
  <c r="G34"/>
  <c r="F34"/>
  <c r="D34"/>
  <c r="G33"/>
  <c r="D33"/>
  <c r="F33" s="1"/>
  <c r="G32"/>
  <c r="F32"/>
  <c r="D32"/>
  <c r="G31"/>
  <c r="D31"/>
  <c r="F31" s="1"/>
  <c r="G26"/>
  <c r="F26"/>
  <c r="D26"/>
  <c r="G25"/>
  <c r="D25"/>
  <c r="F25" s="1"/>
  <c r="G24"/>
  <c r="F24"/>
  <c r="D24"/>
  <c r="G23"/>
  <c r="D23"/>
  <c r="F23" s="1"/>
  <c r="G22"/>
  <c r="F22"/>
  <c r="D22"/>
  <c r="G21"/>
  <c r="D21"/>
  <c r="F21" s="1"/>
  <c r="G20"/>
  <c r="F20"/>
  <c r="D20"/>
  <c r="G19"/>
  <c r="D19"/>
  <c r="F19" s="1"/>
  <c r="G18"/>
  <c r="F18"/>
  <c r="D18"/>
  <c r="G14"/>
  <c r="D14"/>
  <c r="F14" s="1"/>
  <c r="G13"/>
  <c r="F13"/>
  <c r="D13"/>
  <c r="G12"/>
  <c r="D12"/>
  <c r="F12" s="1"/>
  <c r="G11"/>
  <c r="F11"/>
  <c r="D11"/>
  <c r="G10"/>
  <c r="D10"/>
  <c r="F10" s="1"/>
  <c r="G9"/>
  <c r="F9"/>
  <c r="D9"/>
  <c r="G8"/>
  <c r="D8"/>
  <c r="F8" s="1"/>
  <c r="G7"/>
  <c r="F7"/>
  <c r="D7"/>
  <c r="G6"/>
  <c r="D6"/>
  <c r="F6" s="1"/>
  <c r="G51" i="9"/>
  <c r="D51"/>
  <c r="F51" s="1"/>
  <c r="G50"/>
  <c r="D50"/>
  <c r="F50" s="1"/>
  <c r="G49"/>
  <c r="F49"/>
  <c r="D49"/>
  <c r="G48"/>
  <c r="D48"/>
  <c r="F48" s="1"/>
  <c r="G47"/>
  <c r="F47"/>
  <c r="D47"/>
  <c r="G46"/>
  <c r="D46"/>
  <c r="F46" s="1"/>
  <c r="G45"/>
  <c r="F45"/>
  <c r="D45"/>
  <c r="G44"/>
  <c r="D44"/>
  <c r="F44" s="1"/>
  <c r="G43"/>
  <c r="F43"/>
  <c r="D43"/>
  <c r="G39"/>
  <c r="D39"/>
  <c r="F39" s="1"/>
  <c r="G38"/>
  <c r="F38"/>
  <c r="D38"/>
  <c r="G37"/>
  <c r="D37"/>
  <c r="F37" s="1"/>
  <c r="G36"/>
  <c r="F36"/>
  <c r="D36"/>
  <c r="G35"/>
  <c r="D35"/>
  <c r="F35" s="1"/>
  <c r="G34"/>
  <c r="F34"/>
  <c r="D34"/>
  <c r="G33"/>
  <c r="D33"/>
  <c r="F33" s="1"/>
  <c r="G32"/>
  <c r="F32"/>
  <c r="D32"/>
  <c r="G31"/>
  <c r="D31"/>
  <c r="F31" s="1"/>
  <c r="G26"/>
  <c r="F26"/>
  <c r="D26"/>
  <c r="G25"/>
  <c r="D25"/>
  <c r="F25" s="1"/>
  <c r="G24"/>
  <c r="F24"/>
  <c r="D24"/>
  <c r="G23"/>
  <c r="D23"/>
  <c r="F23" s="1"/>
  <c r="G22"/>
  <c r="F22"/>
  <c r="D22"/>
  <c r="G21"/>
  <c r="D21"/>
  <c r="F21" s="1"/>
  <c r="G20"/>
  <c r="F20"/>
  <c r="D20"/>
  <c r="G19"/>
  <c r="D19"/>
  <c r="F19" s="1"/>
  <c r="G18"/>
  <c r="F18"/>
  <c r="D18"/>
  <c r="G14"/>
  <c r="D14"/>
  <c r="F14" s="1"/>
  <c r="G13"/>
  <c r="F13"/>
  <c r="D13"/>
  <c r="G12"/>
  <c r="D12"/>
  <c r="F12" s="1"/>
  <c r="G11"/>
  <c r="F11"/>
  <c r="D11"/>
  <c r="G10"/>
  <c r="D10"/>
  <c r="F10" s="1"/>
  <c r="G9"/>
  <c r="F9"/>
  <c r="D9"/>
  <c r="G8"/>
  <c r="D8"/>
  <c r="F8" s="1"/>
  <c r="G7"/>
  <c r="F7"/>
  <c r="D7"/>
  <c r="G6"/>
  <c r="D6"/>
  <c r="F6" s="1"/>
  <c r="G51" i="8"/>
  <c r="F51"/>
  <c r="D51"/>
  <c r="G50"/>
  <c r="D50"/>
  <c r="F50" s="1"/>
  <c r="G49"/>
  <c r="F49"/>
  <c r="D49"/>
  <c r="G48"/>
  <c r="D48"/>
  <c r="F48" s="1"/>
  <c r="G47"/>
  <c r="F47"/>
  <c r="D47"/>
  <c r="G46"/>
  <c r="D46"/>
  <c r="F46" s="1"/>
  <c r="G45"/>
  <c r="F45"/>
  <c r="D45"/>
  <c r="G44"/>
  <c r="D44"/>
  <c r="F44" s="1"/>
  <c r="G43"/>
  <c r="F43"/>
  <c r="D43"/>
  <c r="G39"/>
  <c r="D39"/>
  <c r="F39" s="1"/>
  <c r="G38"/>
  <c r="F38"/>
  <c r="D38"/>
  <c r="G37"/>
  <c r="D37"/>
  <c r="F37" s="1"/>
  <c r="G36"/>
  <c r="F36"/>
  <c r="D36"/>
  <c r="G35"/>
  <c r="D35"/>
  <c r="F35" s="1"/>
  <c r="G34"/>
  <c r="F34"/>
  <c r="D34"/>
  <c r="G33"/>
  <c r="D33"/>
  <c r="F33" s="1"/>
  <c r="G32"/>
  <c r="F32"/>
  <c r="D32"/>
  <c r="G31"/>
  <c r="D31"/>
  <c r="F31" s="1"/>
  <c r="G26"/>
  <c r="F26"/>
  <c r="D26"/>
  <c r="G25"/>
  <c r="D25"/>
  <c r="F25" s="1"/>
  <c r="G24"/>
  <c r="F24"/>
  <c r="D24"/>
  <c r="G23"/>
  <c r="D23"/>
  <c r="F23" s="1"/>
  <c r="G22"/>
  <c r="F22"/>
  <c r="D22"/>
  <c r="G21"/>
  <c r="D21"/>
  <c r="F21" s="1"/>
  <c r="G20"/>
  <c r="F20"/>
  <c r="D20"/>
  <c r="G19"/>
  <c r="D19"/>
  <c r="F19" s="1"/>
  <c r="G18"/>
  <c r="F18"/>
  <c r="D18"/>
  <c r="G14"/>
  <c r="D14"/>
  <c r="F14" s="1"/>
  <c r="G13"/>
  <c r="F13"/>
  <c r="D13"/>
  <c r="G12"/>
  <c r="D12"/>
  <c r="F12" s="1"/>
  <c r="G11"/>
  <c r="F11"/>
  <c r="D11"/>
  <c r="G10"/>
  <c r="D10"/>
  <c r="F10" s="1"/>
  <c r="G9"/>
  <c r="F9"/>
  <c r="D9"/>
  <c r="G8"/>
  <c r="D8"/>
  <c r="F8" s="1"/>
  <c r="G7"/>
  <c r="F7"/>
  <c r="D7"/>
  <c r="G6"/>
  <c r="D6"/>
  <c r="F6" s="1"/>
  <c r="G51" i="7"/>
  <c r="D51"/>
  <c r="F51" s="1"/>
  <c r="G50"/>
  <c r="D50"/>
  <c r="F50" s="1"/>
  <c r="G49"/>
  <c r="D49"/>
  <c r="F49" s="1"/>
  <c r="G48"/>
  <c r="D48"/>
  <c r="F48" s="1"/>
  <c r="G47"/>
  <c r="D47"/>
  <c r="F47" s="1"/>
  <c r="G46"/>
  <c r="D46"/>
  <c r="F46" s="1"/>
  <c r="G45"/>
  <c r="D45"/>
  <c r="F45" s="1"/>
  <c r="G44"/>
  <c r="D44"/>
  <c r="F44" s="1"/>
  <c r="G43"/>
  <c r="D43"/>
  <c r="F43" s="1"/>
  <c r="G39"/>
  <c r="D39"/>
  <c r="F39" s="1"/>
  <c r="G38"/>
  <c r="F38"/>
  <c r="D38"/>
  <c r="G37"/>
  <c r="D37"/>
  <c r="F37" s="1"/>
  <c r="G36"/>
  <c r="D36"/>
  <c r="F36" s="1"/>
  <c r="G35"/>
  <c r="D35"/>
  <c r="F35" s="1"/>
  <c r="G34"/>
  <c r="F34"/>
  <c r="D34"/>
  <c r="G33"/>
  <c r="D33"/>
  <c r="F33" s="1"/>
  <c r="G32"/>
  <c r="D32"/>
  <c r="F32" s="1"/>
  <c r="G31"/>
  <c r="D31"/>
  <c r="F31" s="1"/>
  <c r="G51" i="6"/>
  <c r="D51"/>
  <c r="F51" s="1"/>
  <c r="G50"/>
  <c r="D50"/>
  <c r="F50" s="1"/>
  <c r="G49"/>
  <c r="F49"/>
  <c r="D49"/>
  <c r="G48"/>
  <c r="D48"/>
  <c r="F48" s="1"/>
  <c r="G47"/>
  <c r="D47"/>
  <c r="F47" s="1"/>
  <c r="G46"/>
  <c r="D46"/>
  <c r="F46" s="1"/>
  <c r="G45"/>
  <c r="F45"/>
  <c r="D45"/>
  <c r="G44"/>
  <c r="D44"/>
  <c r="F44" s="1"/>
  <c r="G43"/>
  <c r="D43"/>
  <c r="F43" s="1"/>
  <c r="G39"/>
  <c r="D39"/>
  <c r="F39" s="1"/>
  <c r="G38"/>
  <c r="F38"/>
  <c r="D38"/>
  <c r="G37"/>
  <c r="D37"/>
  <c r="F37" s="1"/>
  <c r="G36"/>
  <c r="D36"/>
  <c r="F36" s="1"/>
  <c r="G35"/>
  <c r="D35"/>
  <c r="F35" s="1"/>
  <c r="G34"/>
  <c r="F34"/>
  <c r="D34"/>
  <c r="G33"/>
  <c r="D33"/>
  <c r="F33" s="1"/>
  <c r="G32"/>
  <c r="D32"/>
  <c r="F32" s="1"/>
  <c r="G31"/>
  <c r="D31"/>
  <c r="F31" s="1"/>
  <c r="G19" i="7"/>
  <c r="G20"/>
  <c r="G21"/>
  <c r="G22"/>
  <c r="G23"/>
  <c r="G24"/>
  <c r="G25"/>
  <c r="G26"/>
  <c r="G18"/>
  <c r="D26"/>
  <c r="F26" s="1"/>
  <c r="D25"/>
  <c r="F25" s="1"/>
  <c r="D24"/>
  <c r="F24" s="1"/>
  <c r="D23"/>
  <c r="F23" s="1"/>
  <c r="D22"/>
  <c r="F22" s="1"/>
  <c r="D21"/>
  <c r="F21" s="1"/>
  <c r="D20"/>
  <c r="F20" s="1"/>
  <c r="D19"/>
  <c r="F19" s="1"/>
  <c r="D18"/>
  <c r="F18" s="1"/>
  <c r="G14"/>
  <c r="F14"/>
  <c r="D14"/>
  <c r="G13"/>
  <c r="D13"/>
  <c r="F13" s="1"/>
  <c r="G12"/>
  <c r="D12"/>
  <c r="F12" s="1"/>
  <c r="G11"/>
  <c r="D11"/>
  <c r="F11" s="1"/>
  <c r="G10"/>
  <c r="D10"/>
  <c r="F10" s="1"/>
  <c r="G9"/>
  <c r="D9"/>
  <c r="F9" s="1"/>
  <c r="G8"/>
  <c r="D8"/>
  <c r="F8" s="1"/>
  <c r="G7"/>
  <c r="D7"/>
  <c r="F7" s="1"/>
  <c r="G6"/>
  <c r="F6"/>
  <c r="D6"/>
  <c r="G26" i="6"/>
  <c r="D26"/>
  <c r="F26" s="1"/>
  <c r="G25"/>
  <c r="D25"/>
  <c r="F25" s="1"/>
  <c r="G24"/>
  <c r="F24"/>
  <c r="D24"/>
  <c r="G23"/>
  <c r="D23"/>
  <c r="F23" s="1"/>
  <c r="G22"/>
  <c r="D22"/>
  <c r="F22" s="1"/>
  <c r="G21"/>
  <c r="D21"/>
  <c r="F21" s="1"/>
  <c r="G20"/>
  <c r="F20"/>
  <c r="D20"/>
  <c r="G19"/>
  <c r="D19"/>
  <c r="F19" s="1"/>
  <c r="G18"/>
  <c r="D18"/>
  <c r="F18" s="1"/>
  <c r="G14"/>
  <c r="D14"/>
  <c r="F14" s="1"/>
  <c r="G13"/>
  <c r="F13"/>
  <c r="D13"/>
  <c r="G12"/>
  <c r="D12"/>
  <c r="F12" s="1"/>
  <c r="G11"/>
  <c r="D11"/>
  <c r="F11" s="1"/>
  <c r="G10"/>
  <c r="D10"/>
  <c r="F10" s="1"/>
  <c r="G9"/>
  <c r="F9"/>
  <c r="D9"/>
  <c r="G8"/>
  <c r="D8"/>
  <c r="F8" s="1"/>
  <c r="G7"/>
  <c r="D7"/>
  <c r="F7" s="1"/>
  <c r="G6"/>
  <c r="D6"/>
  <c r="F6" s="1"/>
  <c r="G24" i="5"/>
  <c r="F24"/>
  <c r="D24"/>
  <c r="G23"/>
  <c r="D23"/>
  <c r="F23" s="1"/>
  <c r="G22"/>
  <c r="F22"/>
  <c r="D22"/>
  <c r="G21"/>
  <c r="D21"/>
  <c r="F21" s="1"/>
  <c r="G20"/>
  <c r="F20"/>
  <c r="D20"/>
  <c r="G19"/>
  <c r="D19"/>
  <c r="F19" s="1"/>
  <c r="G18"/>
  <c r="F18"/>
  <c r="D18"/>
  <c r="G17"/>
  <c r="D17"/>
  <c r="F17" s="1"/>
  <c r="G16"/>
  <c r="F16"/>
  <c r="D16"/>
  <c r="G12"/>
  <c r="D12"/>
  <c r="F12" s="1"/>
  <c r="G11"/>
  <c r="F11"/>
  <c r="D11"/>
  <c r="G10"/>
  <c r="D10"/>
  <c r="F10" s="1"/>
  <c r="G9"/>
  <c r="F9"/>
  <c r="D9"/>
  <c r="G8"/>
  <c r="D8"/>
  <c r="F8" s="1"/>
  <c r="G7"/>
  <c r="F7"/>
  <c r="D7"/>
  <c r="G6"/>
  <c r="D6"/>
  <c r="F6" s="1"/>
  <c r="G5"/>
  <c r="F5"/>
  <c r="D5"/>
  <c r="G4"/>
  <c r="D4"/>
  <c r="F4" s="1"/>
  <c r="G24" i="3"/>
  <c r="D24"/>
  <c r="F24" s="1"/>
  <c r="G23"/>
  <c r="F23"/>
  <c r="D23"/>
  <c r="G22"/>
  <c r="D22"/>
  <c r="F22" s="1"/>
  <c r="G21"/>
  <c r="F21"/>
  <c r="D21"/>
  <c r="G20"/>
  <c r="D20"/>
  <c r="F20" s="1"/>
  <c r="G19"/>
  <c r="F19"/>
  <c r="D19"/>
  <c r="G18"/>
  <c r="D18"/>
  <c r="F18" s="1"/>
  <c r="G17"/>
  <c r="F17"/>
  <c r="D17"/>
  <c r="G16"/>
  <c r="D16"/>
  <c r="F16" s="1"/>
  <c r="G12"/>
  <c r="F12"/>
  <c r="D12"/>
  <c r="G11"/>
  <c r="D11"/>
  <c r="F11" s="1"/>
  <c r="G10"/>
  <c r="F10"/>
  <c r="D10"/>
  <c r="G9"/>
  <c r="D9"/>
  <c r="F9" s="1"/>
  <c r="G8"/>
  <c r="F8"/>
  <c r="D8"/>
  <c r="G7"/>
  <c r="D7"/>
  <c r="F7" s="1"/>
  <c r="G6"/>
  <c r="F6"/>
  <c r="D6"/>
  <c r="G5"/>
  <c r="D5"/>
  <c r="F5" s="1"/>
  <c r="G4"/>
  <c r="F4"/>
  <c r="D4"/>
  <c r="G17" i="1"/>
  <c r="G18"/>
  <c r="G19"/>
  <c r="G20"/>
  <c r="G21"/>
  <c r="G22"/>
  <c r="G23"/>
  <c r="G24"/>
  <c r="G16"/>
  <c r="G5"/>
  <c r="G6"/>
  <c r="G7"/>
  <c r="G8"/>
  <c r="G9"/>
  <c r="G10"/>
  <c r="G11"/>
  <c r="G12"/>
  <c r="G4"/>
  <c r="F12"/>
  <c r="F24"/>
  <c r="D12"/>
  <c r="D24"/>
  <c r="F16"/>
  <c r="D23"/>
  <c r="F23" s="1"/>
  <c r="D22"/>
  <c r="F22" s="1"/>
  <c r="D21"/>
  <c r="F21" s="1"/>
  <c r="D20"/>
  <c r="F20" s="1"/>
  <c r="D19"/>
  <c r="F19" s="1"/>
  <c r="D18"/>
  <c r="F18" s="1"/>
  <c r="D17"/>
  <c r="F17" s="1"/>
  <c r="D16"/>
  <c r="F5"/>
  <c r="F6"/>
  <c r="F7"/>
  <c r="F8"/>
  <c r="F9"/>
  <c r="F10"/>
  <c r="F11"/>
  <c r="F4"/>
  <c r="D5"/>
  <c r="D6"/>
  <c r="D7"/>
  <c r="D8"/>
  <c r="D9"/>
  <c r="D10"/>
  <c r="D11"/>
  <c r="D4"/>
</calcChain>
</file>

<file path=xl/sharedStrings.xml><?xml version="1.0" encoding="utf-8"?>
<sst xmlns="http://schemas.openxmlformats.org/spreadsheetml/2006/main" count="187" uniqueCount="20">
  <si>
    <t>time(ms)</t>
    <phoneticPr fontId="1" type="noConversion"/>
  </si>
  <si>
    <t>throughput(QPS)</t>
    <phoneticPr fontId="1" type="noConversion"/>
  </si>
  <si>
    <t>localhost</t>
    <phoneticPr fontId="1" type="noConversion"/>
  </si>
  <si>
    <t>2 hosts</t>
    <phoneticPr fontId="1" type="noConversion"/>
  </si>
  <si>
    <t>requests per thread</t>
    <phoneticPr fontId="1" type="noConversion"/>
  </si>
  <si>
    <t>total requests</t>
    <phoneticPr fontId="1" type="noConversion"/>
  </si>
  <si>
    <t>threads</t>
    <phoneticPr fontId="1" type="noConversion"/>
  </si>
  <si>
    <t>average resp time(us)</t>
    <phoneticPr fontId="1" type="noConversion"/>
  </si>
  <si>
    <t>localhost(XLOCK)</t>
    <phoneticPr fontId="1" type="noConversion"/>
  </si>
  <si>
    <t>2 hosts(XLOCK)</t>
    <phoneticPr fontId="1" type="noConversion"/>
  </si>
  <si>
    <t>localhost(SLOCK)</t>
    <phoneticPr fontId="1" type="noConversion"/>
  </si>
  <si>
    <t>2 hosts(SLOCK)</t>
    <phoneticPr fontId="1" type="noConversion"/>
  </si>
  <si>
    <t>CacheSize/AcquireSize=1000/100</t>
  </si>
  <si>
    <t>CacheSize/AcquireSize=1000/100</t>
    <phoneticPr fontId="1" type="noConversion"/>
  </si>
  <si>
    <t>CacheSize/AcquireSize=1000/1</t>
    <phoneticPr fontId="1" type="noConversion"/>
  </si>
  <si>
    <t>CacheSize/AcquireSize=1000/1000</t>
    <phoneticPr fontId="1" type="noConversion"/>
  </si>
  <si>
    <t>localhost-single-sequence</t>
    <phoneticPr fontId="1" type="noConversion"/>
  </si>
  <si>
    <t>2hosts-single-sequence</t>
    <phoneticPr fontId="1" type="noConversion"/>
  </si>
  <si>
    <t>localhost-multi-sequence</t>
    <phoneticPr fontId="1" type="noConversion"/>
  </si>
  <si>
    <t>2hosts-multi-sequence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</si>
</sst>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throughout(single thread)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'GTS(single thread)'!$B$2</c:f>
              <c:strCache>
                <c:ptCount val="1"/>
                <c:pt idx="0">
                  <c:v>localhost</c:v>
                </c:pt>
              </c:strCache>
            </c:strRef>
          </c:tx>
          <c:marker>
            <c:symbol val="none"/>
          </c:marker>
          <c:cat>
            <c:numRef>
              <c:f>'GTS(single thread)'!$B$16:$B$23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</c:numCache>
            </c:numRef>
          </c:cat>
          <c:val>
            <c:numRef>
              <c:f>'GTS(single thread)'!$F$4:$F$12</c:f>
              <c:numCache>
                <c:formatCode>General</c:formatCode>
                <c:ptCount val="9"/>
                <c:pt idx="0">
                  <c:v>82304.526748971199</c:v>
                </c:pt>
                <c:pt idx="1">
                  <c:v>106609.80810234541</c:v>
                </c:pt>
                <c:pt idx="2">
                  <c:v>149198.06042521447</c:v>
                </c:pt>
                <c:pt idx="3">
                  <c:v>156831.99372672025</c:v>
                </c:pt>
                <c:pt idx="4">
                  <c:v>157790.92702169626</c:v>
                </c:pt>
                <c:pt idx="5">
                  <c:v>166112.95681063124</c:v>
                </c:pt>
                <c:pt idx="6">
                  <c:v>170912.7810714095</c:v>
                </c:pt>
                <c:pt idx="7">
                  <c:v>160553.91099292558</c:v>
                </c:pt>
                <c:pt idx="8">
                  <c:v>162763.93507244901</c:v>
                </c:pt>
              </c:numCache>
            </c:numRef>
          </c:val>
        </c:ser>
        <c:ser>
          <c:idx val="1"/>
          <c:order val="1"/>
          <c:tx>
            <c:strRef>
              <c:f>'GTS(single thread)'!$B$14</c:f>
              <c:strCache>
                <c:ptCount val="1"/>
                <c:pt idx="0">
                  <c:v>2 hosts</c:v>
                </c:pt>
              </c:strCache>
            </c:strRef>
          </c:tx>
          <c:marker>
            <c:symbol val="none"/>
          </c:marker>
          <c:cat>
            <c:numRef>
              <c:f>'GTS(single thread)'!$B$16:$B$23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</c:numCache>
            </c:numRef>
          </c:cat>
          <c:val>
            <c:numRef>
              <c:f>'GTS(single thread)'!$F$16:$F$24</c:f>
              <c:numCache>
                <c:formatCode>General</c:formatCode>
                <c:ptCount val="9"/>
                <c:pt idx="0">
                  <c:v>23679.848448969929</c:v>
                </c:pt>
                <c:pt idx="1">
                  <c:v>42087.54208754209</c:v>
                </c:pt>
                <c:pt idx="2">
                  <c:v>85744.908896034307</c:v>
                </c:pt>
                <c:pt idx="3">
                  <c:v>155369.97475237912</c:v>
                </c:pt>
                <c:pt idx="4">
                  <c:v>201994.69763918695</c:v>
                </c:pt>
                <c:pt idx="5">
                  <c:v>197555.25373502902</c:v>
                </c:pt>
                <c:pt idx="6">
                  <c:v>203756.76536134988</c:v>
                </c:pt>
                <c:pt idx="7">
                  <c:v>197677.29182110206</c:v>
                </c:pt>
                <c:pt idx="8">
                  <c:v>194931.7738791423</c:v>
                </c:pt>
              </c:numCache>
            </c:numRef>
          </c:val>
        </c:ser>
        <c:marker val="1"/>
        <c:axId val="59754752"/>
        <c:axId val="60108800"/>
      </c:lineChart>
      <c:catAx>
        <c:axId val="59754752"/>
        <c:scaling>
          <c:orientation val="minMax"/>
        </c:scaling>
        <c:axPos val="b"/>
        <c:numFmt formatCode="General" sourceLinked="1"/>
        <c:tickLblPos val="nextTo"/>
        <c:crossAx val="60108800"/>
        <c:crosses val="autoZero"/>
        <c:auto val="1"/>
        <c:lblAlgn val="ctr"/>
        <c:lblOffset val="100"/>
      </c:catAx>
      <c:valAx>
        <c:axId val="60108800"/>
        <c:scaling>
          <c:orientation val="minMax"/>
        </c:scaling>
        <c:axPos val="l"/>
        <c:majorGridlines/>
        <c:numFmt formatCode="General" sourceLinked="1"/>
        <c:tickLblPos val="nextTo"/>
        <c:crossAx val="5975475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response time</a:t>
            </a:r>
            <a:r>
              <a:rPr lang="en-US" sz="1800" b="1" i="0" u="none" strike="noStrike" baseline="0"/>
              <a:t>(single thread)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'GTS(single thread)'!$B$2</c:f>
              <c:strCache>
                <c:ptCount val="1"/>
                <c:pt idx="0">
                  <c:v>localhost</c:v>
                </c:pt>
              </c:strCache>
            </c:strRef>
          </c:tx>
          <c:marker>
            <c:symbol val="none"/>
          </c:marker>
          <c:cat>
            <c:numRef>
              <c:f>'GTS(single thread)'!$B$16:$B$24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'GTS(single thread)'!$G$4:$G$12</c:f>
              <c:numCache>
                <c:formatCode>General</c:formatCode>
                <c:ptCount val="9"/>
                <c:pt idx="0">
                  <c:v>12.15</c:v>
                </c:pt>
                <c:pt idx="1">
                  <c:v>18.760000000000002</c:v>
                </c:pt>
                <c:pt idx="2">
                  <c:v>26.81</c:v>
                </c:pt>
                <c:pt idx="3">
                  <c:v>51.01</c:v>
                </c:pt>
                <c:pt idx="4">
                  <c:v>101.4</c:v>
                </c:pt>
                <c:pt idx="5">
                  <c:v>192.64</c:v>
                </c:pt>
                <c:pt idx="6">
                  <c:v>374.46</c:v>
                </c:pt>
                <c:pt idx="7">
                  <c:v>797.24</c:v>
                </c:pt>
                <c:pt idx="8">
                  <c:v>1572.83</c:v>
                </c:pt>
              </c:numCache>
            </c:numRef>
          </c:val>
        </c:ser>
        <c:ser>
          <c:idx val="1"/>
          <c:order val="1"/>
          <c:tx>
            <c:strRef>
              <c:f>'GTS(single thread)'!$B$14</c:f>
              <c:strCache>
                <c:ptCount val="1"/>
                <c:pt idx="0">
                  <c:v>2 hosts</c:v>
                </c:pt>
              </c:strCache>
            </c:strRef>
          </c:tx>
          <c:marker>
            <c:symbol val="none"/>
          </c:marker>
          <c:cat>
            <c:numRef>
              <c:f>'GTS(single thread)'!$B$16:$B$24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'GTS(single thread)'!$G$16:$G$24</c:f>
              <c:numCache>
                <c:formatCode>General</c:formatCode>
                <c:ptCount val="9"/>
                <c:pt idx="0">
                  <c:v>42.23</c:v>
                </c:pt>
                <c:pt idx="1">
                  <c:v>47.52</c:v>
                </c:pt>
                <c:pt idx="2">
                  <c:v>46.65</c:v>
                </c:pt>
                <c:pt idx="3">
                  <c:v>51.49</c:v>
                </c:pt>
                <c:pt idx="4">
                  <c:v>79.209999999999994</c:v>
                </c:pt>
                <c:pt idx="5">
                  <c:v>161.97999999999999</c:v>
                </c:pt>
                <c:pt idx="6">
                  <c:v>314.10000000000002</c:v>
                </c:pt>
                <c:pt idx="7">
                  <c:v>647.52</c:v>
                </c:pt>
                <c:pt idx="8">
                  <c:v>1313.28</c:v>
                </c:pt>
              </c:numCache>
            </c:numRef>
          </c:val>
        </c:ser>
        <c:marker val="1"/>
        <c:axId val="60134144"/>
        <c:axId val="60135680"/>
      </c:lineChart>
      <c:catAx>
        <c:axId val="60134144"/>
        <c:scaling>
          <c:orientation val="minMax"/>
        </c:scaling>
        <c:axPos val="b"/>
        <c:numFmt formatCode="General" sourceLinked="1"/>
        <c:tickLblPos val="nextTo"/>
        <c:crossAx val="60135680"/>
        <c:crosses val="autoZero"/>
        <c:auto val="1"/>
        <c:lblAlgn val="ctr"/>
        <c:lblOffset val="100"/>
      </c:catAx>
      <c:valAx>
        <c:axId val="60135680"/>
        <c:scaling>
          <c:orientation val="minMax"/>
        </c:scaling>
        <c:axPos val="l"/>
        <c:majorGridlines/>
        <c:numFmt formatCode="General" sourceLinked="1"/>
        <c:tickLblPos val="nextTo"/>
        <c:crossAx val="6013414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throughput</a:t>
            </a:r>
            <a:r>
              <a:rPr lang="en-US" sz="1800" b="1" i="0" u="none" strike="noStrike" baseline="0"/>
              <a:t>(2 threads)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'GTS(2 threads) '!$B$2</c:f>
              <c:strCache>
                <c:ptCount val="1"/>
                <c:pt idx="0">
                  <c:v>localhost</c:v>
                </c:pt>
              </c:strCache>
            </c:strRef>
          </c:tx>
          <c:cat>
            <c:multiLvlStrRef>
              <c:f>#REF!</c:f>
            </c:multiLvlStrRef>
          </c:cat>
          <c:val>
            <c:numRef>
              <c:f>'GTS(2 threads) '!$F$4:$F$12</c:f>
              <c:numCache>
                <c:formatCode>General</c:formatCode>
                <c:ptCount val="9"/>
                <c:pt idx="0">
                  <c:v>57012.542759407072</c:v>
                </c:pt>
                <c:pt idx="1">
                  <c:v>84175.084175084179</c:v>
                </c:pt>
                <c:pt idx="2">
                  <c:v>163800.16380016381</c:v>
                </c:pt>
                <c:pt idx="3">
                  <c:v>288392.21341023792</c:v>
                </c:pt>
                <c:pt idx="4">
                  <c:v>284040.47576779692</c:v>
                </c:pt>
                <c:pt idx="5">
                  <c:v>312012.48049921996</c:v>
                </c:pt>
                <c:pt idx="6">
                  <c:v>337054.98209395411</c:v>
                </c:pt>
                <c:pt idx="7">
                  <c:v>347438.99459840939</c:v>
                </c:pt>
                <c:pt idx="8">
                  <c:v>334990.84009421617</c:v>
                </c:pt>
              </c:numCache>
            </c:numRef>
          </c:val>
        </c:ser>
        <c:ser>
          <c:idx val="1"/>
          <c:order val="1"/>
          <c:tx>
            <c:strRef>
              <c:f>'GTS(2 threads) '!$B$14</c:f>
              <c:strCache>
                <c:ptCount val="1"/>
                <c:pt idx="0">
                  <c:v>2 hosts</c:v>
                </c:pt>
              </c:strCache>
            </c:strRef>
          </c:tx>
          <c:cat>
            <c:multiLvlStrRef>
              <c:f>#REF!</c:f>
            </c:multiLvlStrRef>
          </c:cat>
          <c:val>
            <c:numRef>
              <c:f>'GTS(2 threads) '!$F$16:$F$24</c:f>
              <c:numCache>
                <c:formatCode>General</c:formatCode>
                <c:ptCount val="9"/>
                <c:pt idx="0">
                  <c:v>20279.862096937741</c:v>
                </c:pt>
                <c:pt idx="1">
                  <c:v>38372.98541826554</c:v>
                </c:pt>
                <c:pt idx="2">
                  <c:v>74906.367041198508</c:v>
                </c:pt>
                <c:pt idx="3">
                  <c:v>138097.70412566891</c:v>
                </c:pt>
                <c:pt idx="4">
                  <c:v>177344.26956328974</c:v>
                </c:pt>
                <c:pt idx="5">
                  <c:v>181118.40615802581</c:v>
                </c:pt>
                <c:pt idx="6">
                  <c:v>212257.8933404086</c:v>
                </c:pt>
                <c:pt idx="7">
                  <c:v>186741.36321195145</c:v>
                </c:pt>
                <c:pt idx="8">
                  <c:v>196319.01840490798</c:v>
                </c:pt>
              </c:numCache>
            </c:numRef>
          </c:val>
        </c:ser>
        <c:marker val="1"/>
        <c:axId val="60476416"/>
        <c:axId val="62595840"/>
      </c:lineChart>
      <c:catAx>
        <c:axId val="60476416"/>
        <c:scaling>
          <c:orientation val="minMax"/>
        </c:scaling>
        <c:axPos val="b"/>
        <c:numFmt formatCode="General" sourceLinked="1"/>
        <c:tickLblPos val="nextTo"/>
        <c:crossAx val="62595840"/>
        <c:crosses val="autoZero"/>
        <c:auto val="1"/>
        <c:lblAlgn val="ctr"/>
        <c:lblOffset val="100"/>
      </c:catAx>
      <c:valAx>
        <c:axId val="62595840"/>
        <c:scaling>
          <c:orientation val="minMax"/>
        </c:scaling>
        <c:axPos val="l"/>
        <c:majorGridlines/>
        <c:numFmt formatCode="General" sourceLinked="1"/>
        <c:tickLblPos val="nextTo"/>
        <c:crossAx val="6047641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response</a:t>
            </a:r>
            <a:r>
              <a:rPr lang="en-US" altLang="en-US" baseline="0"/>
              <a:t> time</a:t>
            </a:r>
            <a:r>
              <a:rPr lang="en-US" sz="1800" b="1" i="0" u="none" strike="noStrike" baseline="0"/>
              <a:t>(2 threads)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cat>
            <c:multiLvlStrRef>
              <c:f>#REF!</c:f>
            </c:multiLvlStrRef>
          </c:cat>
          <c:val>
            <c:numRef>
              <c:f>'GTS(2 threads) '!$G$4:$G$12</c:f>
              <c:numCache>
                <c:formatCode>General</c:formatCode>
                <c:ptCount val="9"/>
                <c:pt idx="0">
                  <c:v>17.54</c:v>
                </c:pt>
                <c:pt idx="1">
                  <c:v>23.76</c:v>
                </c:pt>
                <c:pt idx="2">
                  <c:v>24.42</c:v>
                </c:pt>
                <c:pt idx="3">
                  <c:v>27.74</c:v>
                </c:pt>
                <c:pt idx="4">
                  <c:v>56.33</c:v>
                </c:pt>
                <c:pt idx="5">
                  <c:v>102.56</c:v>
                </c:pt>
                <c:pt idx="6">
                  <c:v>189.88</c:v>
                </c:pt>
                <c:pt idx="7">
                  <c:v>368.41</c:v>
                </c:pt>
                <c:pt idx="8">
                  <c:v>764.2</c:v>
                </c:pt>
              </c:numCache>
            </c:numRef>
          </c:val>
        </c:ser>
        <c:ser>
          <c:idx val="1"/>
          <c:order val="1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cat>
            <c:multiLvlStrRef>
              <c:f>#REF!</c:f>
            </c:multiLvlStrRef>
          </c:cat>
          <c:val>
            <c:numRef>
              <c:f>'GTS(2 threads) '!$G$16:$G$24</c:f>
              <c:numCache>
                <c:formatCode>General</c:formatCode>
                <c:ptCount val="9"/>
                <c:pt idx="0">
                  <c:v>49.31</c:v>
                </c:pt>
                <c:pt idx="1">
                  <c:v>52.12</c:v>
                </c:pt>
                <c:pt idx="2">
                  <c:v>53.4</c:v>
                </c:pt>
                <c:pt idx="3">
                  <c:v>57.93</c:v>
                </c:pt>
                <c:pt idx="4">
                  <c:v>90.22</c:v>
                </c:pt>
                <c:pt idx="5">
                  <c:v>176.68</c:v>
                </c:pt>
                <c:pt idx="6">
                  <c:v>301.52</c:v>
                </c:pt>
                <c:pt idx="7">
                  <c:v>685.44</c:v>
                </c:pt>
                <c:pt idx="8">
                  <c:v>1304</c:v>
                </c:pt>
              </c:numCache>
            </c:numRef>
          </c:val>
        </c:ser>
        <c:marker val="1"/>
        <c:axId val="62637184"/>
        <c:axId val="62638720"/>
      </c:lineChart>
      <c:catAx>
        <c:axId val="62637184"/>
        <c:scaling>
          <c:orientation val="minMax"/>
        </c:scaling>
        <c:axPos val="b"/>
        <c:numFmt formatCode="General" sourceLinked="1"/>
        <c:tickLblPos val="nextTo"/>
        <c:crossAx val="62638720"/>
        <c:crosses val="autoZero"/>
        <c:auto val="1"/>
        <c:lblAlgn val="ctr"/>
        <c:lblOffset val="100"/>
      </c:catAx>
      <c:valAx>
        <c:axId val="62638720"/>
        <c:scaling>
          <c:orientation val="minMax"/>
        </c:scaling>
        <c:axPos val="l"/>
        <c:majorGridlines/>
        <c:numFmt formatCode="General" sourceLinked="1"/>
        <c:tickLblPos val="nextTo"/>
        <c:crossAx val="6263718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throughput</a:t>
            </a:r>
            <a:r>
              <a:rPr lang="en-US" sz="1800" b="1" i="0" u="none" strike="noStrike" baseline="0"/>
              <a:t>(4 threads)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cat>
            <c:multiLvlStrRef>
              <c:f>#REF!</c:f>
            </c:multiLvlStrRef>
          </c:cat>
          <c:val>
            <c:numRef>
              <c:f>'GTS(4 threads)'!$F$4:$F$12</c:f>
              <c:numCache>
                <c:formatCode>General</c:formatCode>
                <c:ptCount val="9"/>
                <c:pt idx="0">
                  <c:v>58754.406580493538</c:v>
                </c:pt>
                <c:pt idx="1">
                  <c:v>88967.971530249109</c:v>
                </c:pt>
                <c:pt idx="2">
                  <c:v>147819.66001478196</c:v>
                </c:pt>
                <c:pt idx="3">
                  <c:v>188102.51587114975</c:v>
                </c:pt>
                <c:pt idx="4">
                  <c:v>198955.48371051977</c:v>
                </c:pt>
                <c:pt idx="5">
                  <c:v>187485.35270681977</c:v>
                </c:pt>
                <c:pt idx="6">
                  <c:v>200350.61357375406</c:v>
                </c:pt>
                <c:pt idx="7">
                  <c:v>185784.57697722685</c:v>
                </c:pt>
                <c:pt idx="8">
                  <c:v>182299.82624547809</c:v>
                </c:pt>
              </c:numCache>
            </c:numRef>
          </c:val>
        </c:ser>
        <c:ser>
          <c:idx val="1"/>
          <c:order val="1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cat>
            <c:multiLvlStrRef>
              <c:f>#REF!</c:f>
            </c:multiLvlStrRef>
          </c:cat>
          <c:val>
            <c:numRef>
              <c:f>'GTS(4 threads)'!$F$16:$F$24</c:f>
              <c:numCache>
                <c:formatCode>General</c:formatCode>
                <c:ptCount val="9"/>
                <c:pt idx="0">
                  <c:v>19485.580670303974</c:v>
                </c:pt>
                <c:pt idx="1">
                  <c:v>36968.576709796675</c:v>
                </c:pt>
                <c:pt idx="2">
                  <c:v>74460.163812360392</c:v>
                </c:pt>
                <c:pt idx="3">
                  <c:v>130548.30287206266</c:v>
                </c:pt>
                <c:pt idx="4">
                  <c:v>144730.8909995477</c:v>
                </c:pt>
                <c:pt idx="5">
                  <c:v>141524.03697315467</c:v>
                </c:pt>
                <c:pt idx="6">
                  <c:v>145441.32351604401</c:v>
                </c:pt>
                <c:pt idx="7">
                  <c:v>145429.75629154121</c:v>
                </c:pt>
                <c:pt idx="8">
                  <c:v>137562.66893071894</c:v>
                </c:pt>
              </c:numCache>
            </c:numRef>
          </c:val>
        </c:ser>
        <c:marker val="1"/>
        <c:axId val="61099392"/>
        <c:axId val="61105280"/>
      </c:lineChart>
      <c:catAx>
        <c:axId val="61099392"/>
        <c:scaling>
          <c:orientation val="minMax"/>
        </c:scaling>
        <c:axPos val="b"/>
        <c:numFmt formatCode="General" sourceLinked="1"/>
        <c:tickLblPos val="nextTo"/>
        <c:crossAx val="61105280"/>
        <c:crosses val="autoZero"/>
        <c:auto val="1"/>
        <c:lblAlgn val="ctr"/>
        <c:lblOffset val="100"/>
      </c:catAx>
      <c:valAx>
        <c:axId val="61105280"/>
        <c:scaling>
          <c:orientation val="minMax"/>
        </c:scaling>
        <c:axPos val="l"/>
        <c:majorGridlines/>
        <c:numFmt formatCode="General" sourceLinked="1"/>
        <c:tickLblPos val="nextTo"/>
        <c:crossAx val="6109939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response</a:t>
            </a:r>
            <a:r>
              <a:rPr lang="en-US" altLang="en-US" baseline="0"/>
              <a:t> time</a:t>
            </a:r>
            <a:r>
              <a:rPr lang="en-US" sz="1800" b="1" i="0" u="none" strike="noStrike" baseline="0"/>
              <a:t>(4 threads)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cat>
            <c:multiLvlStrRef>
              <c:f>#REF!</c:f>
            </c:multiLvlStrRef>
          </c:cat>
          <c:val>
            <c:numRef>
              <c:f>'GTS(4 threads)'!$G$4:$G$12</c:f>
              <c:numCache>
                <c:formatCode>General</c:formatCode>
                <c:ptCount val="9"/>
                <c:pt idx="0">
                  <c:v>17.02</c:v>
                </c:pt>
                <c:pt idx="1">
                  <c:v>22.48</c:v>
                </c:pt>
                <c:pt idx="2">
                  <c:v>27.06</c:v>
                </c:pt>
                <c:pt idx="3">
                  <c:v>42.53</c:v>
                </c:pt>
                <c:pt idx="4">
                  <c:v>80.42</c:v>
                </c:pt>
                <c:pt idx="5">
                  <c:v>170.68</c:v>
                </c:pt>
                <c:pt idx="6">
                  <c:v>319.44</c:v>
                </c:pt>
                <c:pt idx="7">
                  <c:v>688.97</c:v>
                </c:pt>
                <c:pt idx="8">
                  <c:v>1404.28</c:v>
                </c:pt>
              </c:numCache>
            </c:numRef>
          </c:val>
        </c:ser>
        <c:ser>
          <c:idx val="1"/>
          <c:order val="1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cat>
            <c:multiLvlStrRef>
              <c:f>#REF!</c:f>
            </c:multiLvlStrRef>
          </c:cat>
          <c:val>
            <c:numRef>
              <c:f>'GTS(4 threads)'!$G$16:$G$24</c:f>
              <c:numCache>
                <c:formatCode>General</c:formatCode>
                <c:ptCount val="9"/>
                <c:pt idx="0">
                  <c:v>51.32</c:v>
                </c:pt>
                <c:pt idx="1">
                  <c:v>54.1</c:v>
                </c:pt>
                <c:pt idx="2">
                  <c:v>53.72</c:v>
                </c:pt>
                <c:pt idx="3">
                  <c:v>61.28</c:v>
                </c:pt>
                <c:pt idx="4">
                  <c:v>110.55</c:v>
                </c:pt>
                <c:pt idx="5">
                  <c:v>226.11</c:v>
                </c:pt>
                <c:pt idx="6">
                  <c:v>440.04</c:v>
                </c:pt>
                <c:pt idx="7">
                  <c:v>880.15</c:v>
                </c:pt>
                <c:pt idx="8">
                  <c:v>1860.97</c:v>
                </c:pt>
              </c:numCache>
            </c:numRef>
          </c:val>
        </c:ser>
        <c:marker val="1"/>
        <c:axId val="61130240"/>
        <c:axId val="61131776"/>
      </c:lineChart>
      <c:catAx>
        <c:axId val="61130240"/>
        <c:scaling>
          <c:orientation val="minMax"/>
        </c:scaling>
        <c:axPos val="b"/>
        <c:numFmt formatCode="General" sourceLinked="1"/>
        <c:tickLblPos val="nextTo"/>
        <c:crossAx val="61131776"/>
        <c:crosses val="autoZero"/>
        <c:auto val="1"/>
        <c:lblAlgn val="ctr"/>
        <c:lblOffset val="100"/>
      </c:catAx>
      <c:valAx>
        <c:axId val="61131776"/>
        <c:scaling>
          <c:orientation val="minMax"/>
        </c:scaling>
        <c:axPos val="l"/>
        <c:majorGridlines/>
        <c:numFmt formatCode="General" sourceLinked="1"/>
        <c:tickLblPos val="nextTo"/>
        <c:crossAx val="6113024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throughout(single thread)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'GTS(single thread)'!$B$2</c:f>
              <c:strCache>
                <c:ptCount val="1"/>
                <c:pt idx="0">
                  <c:v>localhost</c:v>
                </c:pt>
              </c:strCache>
            </c:strRef>
          </c:tx>
          <c:cat>
            <c:numRef>
              <c:f>'GTS(single thread)'!$B$16:$B$23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</c:numCache>
            </c:numRef>
          </c:cat>
          <c:val>
            <c:numRef>
              <c:f>'GTS(single thread)'!$F$4:$F$12</c:f>
              <c:numCache>
                <c:formatCode>General</c:formatCode>
                <c:ptCount val="9"/>
                <c:pt idx="0">
                  <c:v>82304.526748971199</c:v>
                </c:pt>
                <c:pt idx="1">
                  <c:v>106609.80810234541</c:v>
                </c:pt>
                <c:pt idx="2">
                  <c:v>149198.06042521447</c:v>
                </c:pt>
                <c:pt idx="3">
                  <c:v>156831.99372672025</c:v>
                </c:pt>
                <c:pt idx="4">
                  <c:v>157790.92702169626</c:v>
                </c:pt>
                <c:pt idx="5">
                  <c:v>166112.95681063124</c:v>
                </c:pt>
                <c:pt idx="6">
                  <c:v>170912.7810714095</c:v>
                </c:pt>
                <c:pt idx="7">
                  <c:v>160553.91099292558</c:v>
                </c:pt>
                <c:pt idx="8">
                  <c:v>162763.93507244901</c:v>
                </c:pt>
              </c:numCache>
            </c:numRef>
          </c:val>
        </c:ser>
        <c:ser>
          <c:idx val="1"/>
          <c:order val="1"/>
          <c:tx>
            <c:strRef>
              <c:f>'GTS(single thread)'!$B$14</c:f>
              <c:strCache>
                <c:ptCount val="1"/>
                <c:pt idx="0">
                  <c:v>2 hosts</c:v>
                </c:pt>
              </c:strCache>
            </c:strRef>
          </c:tx>
          <c:cat>
            <c:numRef>
              <c:f>'GTS(single thread)'!$B$16:$B$23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</c:numCache>
            </c:numRef>
          </c:cat>
          <c:val>
            <c:numRef>
              <c:f>'GTS(single thread)'!$F$16:$F$24</c:f>
              <c:numCache>
                <c:formatCode>General</c:formatCode>
                <c:ptCount val="9"/>
                <c:pt idx="0">
                  <c:v>23679.848448969929</c:v>
                </c:pt>
                <c:pt idx="1">
                  <c:v>42087.54208754209</c:v>
                </c:pt>
                <c:pt idx="2">
                  <c:v>85744.908896034307</c:v>
                </c:pt>
                <c:pt idx="3">
                  <c:v>155369.97475237912</c:v>
                </c:pt>
                <c:pt idx="4">
                  <c:v>201994.69763918695</c:v>
                </c:pt>
                <c:pt idx="5">
                  <c:v>197555.25373502902</c:v>
                </c:pt>
                <c:pt idx="6">
                  <c:v>203756.76536134988</c:v>
                </c:pt>
                <c:pt idx="7">
                  <c:v>197677.29182110206</c:v>
                </c:pt>
                <c:pt idx="8">
                  <c:v>194931.7738791423</c:v>
                </c:pt>
              </c:numCache>
            </c:numRef>
          </c:val>
        </c:ser>
        <c:marker val="1"/>
        <c:axId val="62726144"/>
        <c:axId val="62727680"/>
      </c:lineChart>
      <c:catAx>
        <c:axId val="62726144"/>
        <c:scaling>
          <c:orientation val="minMax"/>
        </c:scaling>
        <c:axPos val="b"/>
        <c:numFmt formatCode="General" sourceLinked="1"/>
        <c:tickLblPos val="nextTo"/>
        <c:crossAx val="62727680"/>
        <c:crosses val="autoZero"/>
        <c:auto val="1"/>
        <c:lblAlgn val="ctr"/>
        <c:lblOffset val="100"/>
      </c:catAx>
      <c:valAx>
        <c:axId val="62727680"/>
        <c:scaling>
          <c:orientation val="minMax"/>
        </c:scaling>
        <c:axPos val="l"/>
        <c:majorGridlines/>
        <c:numFmt formatCode="General" sourceLinked="1"/>
        <c:tickLblPos val="nextTo"/>
        <c:crossAx val="6272614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response time</a:t>
            </a:r>
            <a:r>
              <a:rPr lang="en-US" sz="1800" b="1" i="0" u="none" strike="noStrike" baseline="0"/>
              <a:t>(single thread)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'GTS(single thread)'!$B$2</c:f>
              <c:strCache>
                <c:ptCount val="1"/>
                <c:pt idx="0">
                  <c:v>localhost</c:v>
                </c:pt>
              </c:strCache>
            </c:strRef>
          </c:tx>
          <c:cat>
            <c:numRef>
              <c:f>'GTS(single thread)'!$B$16:$B$24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'GTS(single thread)'!$G$4:$G$12</c:f>
              <c:numCache>
                <c:formatCode>General</c:formatCode>
                <c:ptCount val="9"/>
                <c:pt idx="0">
                  <c:v>12.15</c:v>
                </c:pt>
                <c:pt idx="1">
                  <c:v>18.760000000000002</c:v>
                </c:pt>
                <c:pt idx="2">
                  <c:v>26.81</c:v>
                </c:pt>
                <c:pt idx="3">
                  <c:v>51.01</c:v>
                </c:pt>
                <c:pt idx="4">
                  <c:v>101.4</c:v>
                </c:pt>
                <c:pt idx="5">
                  <c:v>192.64</c:v>
                </c:pt>
                <c:pt idx="6">
                  <c:v>374.46</c:v>
                </c:pt>
                <c:pt idx="7">
                  <c:v>797.24</c:v>
                </c:pt>
                <c:pt idx="8">
                  <c:v>1572.83</c:v>
                </c:pt>
              </c:numCache>
            </c:numRef>
          </c:val>
        </c:ser>
        <c:ser>
          <c:idx val="1"/>
          <c:order val="1"/>
          <c:tx>
            <c:strRef>
              <c:f>'GTS(single thread)'!$B$14</c:f>
              <c:strCache>
                <c:ptCount val="1"/>
                <c:pt idx="0">
                  <c:v>2 hosts</c:v>
                </c:pt>
              </c:strCache>
            </c:strRef>
          </c:tx>
          <c:cat>
            <c:numRef>
              <c:f>'GTS(single thread)'!$B$16:$B$24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'GTS(single thread)'!$G$16:$G$24</c:f>
              <c:numCache>
                <c:formatCode>General</c:formatCode>
                <c:ptCount val="9"/>
                <c:pt idx="0">
                  <c:v>42.23</c:v>
                </c:pt>
                <c:pt idx="1">
                  <c:v>47.52</c:v>
                </c:pt>
                <c:pt idx="2">
                  <c:v>46.65</c:v>
                </c:pt>
                <c:pt idx="3">
                  <c:v>51.49</c:v>
                </c:pt>
                <c:pt idx="4">
                  <c:v>79.209999999999994</c:v>
                </c:pt>
                <c:pt idx="5">
                  <c:v>161.97999999999999</c:v>
                </c:pt>
                <c:pt idx="6">
                  <c:v>314.10000000000002</c:v>
                </c:pt>
                <c:pt idx="7">
                  <c:v>647.52</c:v>
                </c:pt>
                <c:pt idx="8">
                  <c:v>1313.28</c:v>
                </c:pt>
              </c:numCache>
            </c:numRef>
          </c:val>
        </c:ser>
        <c:marker val="1"/>
        <c:axId val="62748544"/>
        <c:axId val="62750080"/>
      </c:lineChart>
      <c:catAx>
        <c:axId val="62748544"/>
        <c:scaling>
          <c:orientation val="minMax"/>
        </c:scaling>
        <c:axPos val="b"/>
        <c:numFmt formatCode="General" sourceLinked="1"/>
        <c:tickLblPos val="nextTo"/>
        <c:crossAx val="62750080"/>
        <c:crosses val="autoZero"/>
        <c:auto val="1"/>
        <c:lblAlgn val="ctr"/>
        <c:lblOffset val="100"/>
      </c:catAx>
      <c:valAx>
        <c:axId val="62750080"/>
        <c:scaling>
          <c:orientation val="minMax"/>
        </c:scaling>
        <c:axPos val="l"/>
        <c:majorGridlines/>
        <c:numFmt formatCode="General" sourceLinked="1"/>
        <c:tickLblPos val="nextTo"/>
        <c:crossAx val="6274854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throughput</a:t>
            </a:r>
            <a:r>
              <a:rPr lang="en-US" sz="1800" b="1" i="0" u="none" strike="noStrike" baseline="0"/>
              <a:t>(2 threads)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2"/>
          <c:order val="0"/>
          <c:tx>
            <c:strRef>
              <c:f>'GTS(2 threads) '!$B$2</c:f>
              <c:strCache>
                <c:ptCount val="1"/>
                <c:pt idx="0">
                  <c:v>localhost</c:v>
                </c:pt>
              </c:strCache>
            </c:strRef>
          </c:tx>
          <c:cat>
            <c:numRef>
              <c:f>'GTS(2 threads) '!$B$4:$B$12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'GTS(2 threads) '!$F$4:$F$12</c:f>
              <c:numCache>
                <c:formatCode>General</c:formatCode>
                <c:ptCount val="9"/>
                <c:pt idx="0">
                  <c:v>57012.542759407072</c:v>
                </c:pt>
                <c:pt idx="1">
                  <c:v>84175.084175084179</c:v>
                </c:pt>
                <c:pt idx="2">
                  <c:v>163800.16380016381</c:v>
                </c:pt>
                <c:pt idx="3">
                  <c:v>288392.21341023792</c:v>
                </c:pt>
                <c:pt idx="4">
                  <c:v>284040.47576779692</c:v>
                </c:pt>
                <c:pt idx="5">
                  <c:v>312012.48049921996</c:v>
                </c:pt>
                <c:pt idx="6">
                  <c:v>337054.98209395411</c:v>
                </c:pt>
                <c:pt idx="7">
                  <c:v>347438.99459840939</c:v>
                </c:pt>
                <c:pt idx="8">
                  <c:v>334990.84009421617</c:v>
                </c:pt>
              </c:numCache>
            </c:numRef>
          </c:val>
        </c:ser>
        <c:ser>
          <c:idx val="0"/>
          <c:order val="1"/>
          <c:tx>
            <c:strRef>
              <c:f>'GTS(2 threads) '!$B$14</c:f>
              <c:strCache>
                <c:ptCount val="1"/>
                <c:pt idx="0">
                  <c:v>2 hosts</c:v>
                </c:pt>
              </c:strCache>
            </c:strRef>
          </c:tx>
          <c:cat>
            <c:numRef>
              <c:f>'GTS(2 threads) '!$B$4:$B$12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'GTS(2 threads) '!$F$16:$F$24</c:f>
              <c:numCache>
                <c:formatCode>General</c:formatCode>
                <c:ptCount val="9"/>
                <c:pt idx="0">
                  <c:v>20279.862096937741</c:v>
                </c:pt>
                <c:pt idx="1">
                  <c:v>38372.98541826554</c:v>
                </c:pt>
                <c:pt idx="2">
                  <c:v>74906.367041198508</c:v>
                </c:pt>
                <c:pt idx="3">
                  <c:v>138097.70412566891</c:v>
                </c:pt>
                <c:pt idx="4">
                  <c:v>177344.26956328974</c:v>
                </c:pt>
                <c:pt idx="5">
                  <c:v>181118.40615802581</c:v>
                </c:pt>
                <c:pt idx="6">
                  <c:v>212257.8933404086</c:v>
                </c:pt>
                <c:pt idx="7">
                  <c:v>186741.36321195145</c:v>
                </c:pt>
                <c:pt idx="8">
                  <c:v>196319.01840490798</c:v>
                </c:pt>
              </c:numCache>
            </c:numRef>
          </c:val>
        </c:ser>
        <c:marker val="1"/>
        <c:axId val="63901696"/>
        <c:axId val="63903232"/>
      </c:lineChart>
      <c:catAx>
        <c:axId val="63901696"/>
        <c:scaling>
          <c:orientation val="minMax"/>
        </c:scaling>
        <c:axPos val="b"/>
        <c:numFmt formatCode="General" sourceLinked="1"/>
        <c:tickLblPos val="nextTo"/>
        <c:crossAx val="63903232"/>
        <c:crosses val="autoZero"/>
        <c:auto val="1"/>
        <c:lblAlgn val="ctr"/>
        <c:lblOffset val="100"/>
      </c:catAx>
      <c:valAx>
        <c:axId val="63903232"/>
        <c:scaling>
          <c:orientation val="minMax"/>
        </c:scaling>
        <c:axPos val="l"/>
        <c:majorGridlines/>
        <c:numFmt formatCode="General" sourceLinked="1"/>
        <c:tickLblPos val="nextTo"/>
        <c:crossAx val="6390169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response</a:t>
            </a:r>
            <a:r>
              <a:rPr lang="en-US" altLang="en-US" baseline="0"/>
              <a:t> time</a:t>
            </a:r>
            <a:r>
              <a:rPr lang="en-US" sz="1800" b="1" i="0" u="none" strike="noStrike" baseline="0"/>
              <a:t>(2 threads)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'GTS(2 threads) '!$B$2</c:f>
              <c:strCache>
                <c:ptCount val="1"/>
                <c:pt idx="0">
                  <c:v>localhost</c:v>
                </c:pt>
              </c:strCache>
            </c:strRef>
          </c:tx>
          <c:cat>
            <c:numRef>
              <c:f>'GTS(2 threads) '!$B$4:$B$12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'GTS(2 threads) '!$G$4:$G$12</c:f>
              <c:numCache>
                <c:formatCode>General</c:formatCode>
                <c:ptCount val="9"/>
                <c:pt idx="0">
                  <c:v>17.54</c:v>
                </c:pt>
                <c:pt idx="1">
                  <c:v>23.76</c:v>
                </c:pt>
                <c:pt idx="2">
                  <c:v>24.42</c:v>
                </c:pt>
                <c:pt idx="3">
                  <c:v>27.74</c:v>
                </c:pt>
                <c:pt idx="4">
                  <c:v>56.33</c:v>
                </c:pt>
                <c:pt idx="5">
                  <c:v>102.56</c:v>
                </c:pt>
                <c:pt idx="6">
                  <c:v>189.88</c:v>
                </c:pt>
                <c:pt idx="7">
                  <c:v>368.41</c:v>
                </c:pt>
                <c:pt idx="8">
                  <c:v>764.2</c:v>
                </c:pt>
              </c:numCache>
            </c:numRef>
          </c:val>
        </c:ser>
        <c:ser>
          <c:idx val="1"/>
          <c:order val="1"/>
          <c:tx>
            <c:strRef>
              <c:f>'GTS(2 threads) '!$B$14</c:f>
              <c:strCache>
                <c:ptCount val="1"/>
                <c:pt idx="0">
                  <c:v>2 hosts</c:v>
                </c:pt>
              </c:strCache>
            </c:strRef>
          </c:tx>
          <c:cat>
            <c:numRef>
              <c:f>'GTS(2 threads) '!$B$4:$B$12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'GTS(2 threads) '!$G$16:$G$24</c:f>
              <c:numCache>
                <c:formatCode>General</c:formatCode>
                <c:ptCount val="9"/>
                <c:pt idx="0">
                  <c:v>49.31</c:v>
                </c:pt>
                <c:pt idx="1">
                  <c:v>52.12</c:v>
                </c:pt>
                <c:pt idx="2">
                  <c:v>53.4</c:v>
                </c:pt>
                <c:pt idx="3">
                  <c:v>57.93</c:v>
                </c:pt>
                <c:pt idx="4">
                  <c:v>90.22</c:v>
                </c:pt>
                <c:pt idx="5">
                  <c:v>176.68</c:v>
                </c:pt>
                <c:pt idx="6">
                  <c:v>301.52</c:v>
                </c:pt>
                <c:pt idx="7">
                  <c:v>685.44</c:v>
                </c:pt>
                <c:pt idx="8">
                  <c:v>1304</c:v>
                </c:pt>
              </c:numCache>
            </c:numRef>
          </c:val>
        </c:ser>
        <c:marker val="1"/>
        <c:axId val="63924096"/>
        <c:axId val="63925632"/>
      </c:lineChart>
      <c:catAx>
        <c:axId val="63924096"/>
        <c:scaling>
          <c:orientation val="minMax"/>
        </c:scaling>
        <c:axPos val="b"/>
        <c:numFmt formatCode="General" sourceLinked="1"/>
        <c:tickLblPos val="nextTo"/>
        <c:crossAx val="63925632"/>
        <c:crosses val="autoZero"/>
        <c:auto val="1"/>
        <c:lblAlgn val="ctr"/>
        <c:lblOffset val="100"/>
      </c:catAx>
      <c:valAx>
        <c:axId val="63925632"/>
        <c:scaling>
          <c:orientation val="minMax"/>
        </c:scaling>
        <c:axPos val="l"/>
        <c:majorGridlines/>
        <c:numFmt formatCode="General" sourceLinked="1"/>
        <c:tickLblPos val="nextTo"/>
        <c:crossAx val="6392409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throughput</a:t>
            </a:r>
            <a:r>
              <a:rPr lang="en-US" sz="1800" b="1" i="0" u="none" strike="noStrike" baseline="0"/>
              <a:t>(4 threads)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'GTS(4 threads)'!$B$2</c:f>
              <c:strCache>
                <c:ptCount val="1"/>
                <c:pt idx="0">
                  <c:v>localhost</c:v>
                </c:pt>
              </c:strCache>
            </c:strRef>
          </c:tx>
          <c:cat>
            <c:numRef>
              <c:f>'GTS(4 threads)'!$B$4:$B$12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'GTS(4 threads)'!$F$4:$F$12</c:f>
              <c:numCache>
                <c:formatCode>General</c:formatCode>
                <c:ptCount val="9"/>
                <c:pt idx="0">
                  <c:v>58754.406580493538</c:v>
                </c:pt>
                <c:pt idx="1">
                  <c:v>88967.971530249109</c:v>
                </c:pt>
                <c:pt idx="2">
                  <c:v>147819.66001478196</c:v>
                </c:pt>
                <c:pt idx="3">
                  <c:v>188102.51587114975</c:v>
                </c:pt>
                <c:pt idx="4">
                  <c:v>198955.48371051977</c:v>
                </c:pt>
                <c:pt idx="5">
                  <c:v>187485.35270681977</c:v>
                </c:pt>
                <c:pt idx="6">
                  <c:v>200350.61357375406</c:v>
                </c:pt>
                <c:pt idx="7">
                  <c:v>185784.57697722685</c:v>
                </c:pt>
                <c:pt idx="8">
                  <c:v>182299.82624547809</c:v>
                </c:pt>
              </c:numCache>
            </c:numRef>
          </c:val>
        </c:ser>
        <c:ser>
          <c:idx val="1"/>
          <c:order val="1"/>
          <c:tx>
            <c:strRef>
              <c:f>'GTS(4 threads)'!$B$14</c:f>
              <c:strCache>
                <c:ptCount val="1"/>
                <c:pt idx="0">
                  <c:v>2 hosts</c:v>
                </c:pt>
              </c:strCache>
            </c:strRef>
          </c:tx>
          <c:cat>
            <c:numRef>
              <c:f>'GTS(4 threads)'!$B$4:$B$12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'GTS(4 threads)'!$F$16:$F$24</c:f>
              <c:numCache>
                <c:formatCode>General</c:formatCode>
                <c:ptCount val="9"/>
                <c:pt idx="0">
                  <c:v>19485.580670303974</c:v>
                </c:pt>
                <c:pt idx="1">
                  <c:v>36968.576709796675</c:v>
                </c:pt>
                <c:pt idx="2">
                  <c:v>74460.163812360392</c:v>
                </c:pt>
                <c:pt idx="3">
                  <c:v>130548.30287206266</c:v>
                </c:pt>
                <c:pt idx="4">
                  <c:v>144730.8909995477</c:v>
                </c:pt>
                <c:pt idx="5">
                  <c:v>141524.03697315467</c:v>
                </c:pt>
                <c:pt idx="6">
                  <c:v>145441.32351604401</c:v>
                </c:pt>
                <c:pt idx="7">
                  <c:v>145429.75629154121</c:v>
                </c:pt>
                <c:pt idx="8">
                  <c:v>137562.66893071894</c:v>
                </c:pt>
              </c:numCache>
            </c:numRef>
          </c:val>
        </c:ser>
        <c:marker val="1"/>
        <c:axId val="63979520"/>
        <c:axId val="63981056"/>
      </c:lineChart>
      <c:catAx>
        <c:axId val="63979520"/>
        <c:scaling>
          <c:orientation val="minMax"/>
        </c:scaling>
        <c:axPos val="b"/>
        <c:numFmt formatCode="General" sourceLinked="1"/>
        <c:tickLblPos val="nextTo"/>
        <c:crossAx val="63981056"/>
        <c:crosses val="autoZero"/>
        <c:auto val="1"/>
        <c:lblAlgn val="ctr"/>
        <c:lblOffset val="100"/>
      </c:catAx>
      <c:valAx>
        <c:axId val="63981056"/>
        <c:scaling>
          <c:orientation val="minMax"/>
        </c:scaling>
        <c:axPos val="l"/>
        <c:majorGridlines/>
        <c:numFmt formatCode="General" sourceLinked="1"/>
        <c:tickLblPos val="nextTo"/>
        <c:crossAx val="6397952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response</a:t>
            </a:r>
            <a:r>
              <a:rPr lang="en-US" altLang="en-US" baseline="0"/>
              <a:t> time</a:t>
            </a:r>
            <a:r>
              <a:rPr lang="en-US" sz="1800" b="1" i="0" u="none" strike="noStrike" baseline="0"/>
              <a:t>(4 threads)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'GTS(4 threads)'!$B$2</c:f>
              <c:strCache>
                <c:ptCount val="1"/>
                <c:pt idx="0">
                  <c:v>localhost</c:v>
                </c:pt>
              </c:strCache>
            </c:strRef>
          </c:tx>
          <c:cat>
            <c:numRef>
              <c:f>'GTS(4 threads)'!$B$4:$B$12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'GTS(4 threads)'!$G$4:$G$12</c:f>
              <c:numCache>
                <c:formatCode>General</c:formatCode>
                <c:ptCount val="9"/>
                <c:pt idx="0">
                  <c:v>17.02</c:v>
                </c:pt>
                <c:pt idx="1">
                  <c:v>22.48</c:v>
                </c:pt>
                <c:pt idx="2">
                  <c:v>27.06</c:v>
                </c:pt>
                <c:pt idx="3">
                  <c:v>42.53</c:v>
                </c:pt>
                <c:pt idx="4">
                  <c:v>80.42</c:v>
                </c:pt>
                <c:pt idx="5">
                  <c:v>170.68</c:v>
                </c:pt>
                <c:pt idx="6">
                  <c:v>319.44</c:v>
                </c:pt>
                <c:pt idx="7">
                  <c:v>688.97</c:v>
                </c:pt>
                <c:pt idx="8">
                  <c:v>1404.28</c:v>
                </c:pt>
              </c:numCache>
            </c:numRef>
          </c:val>
        </c:ser>
        <c:ser>
          <c:idx val="1"/>
          <c:order val="1"/>
          <c:tx>
            <c:strRef>
              <c:f>'GTS(4 threads)'!$B$14</c:f>
              <c:strCache>
                <c:ptCount val="1"/>
                <c:pt idx="0">
                  <c:v>2 hosts</c:v>
                </c:pt>
              </c:strCache>
            </c:strRef>
          </c:tx>
          <c:cat>
            <c:numRef>
              <c:f>'GTS(4 threads)'!$B$4:$B$12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'GTS(4 threads)'!$G$16:$G$24</c:f>
              <c:numCache>
                <c:formatCode>General</c:formatCode>
                <c:ptCount val="9"/>
                <c:pt idx="0">
                  <c:v>51.32</c:v>
                </c:pt>
                <c:pt idx="1">
                  <c:v>54.1</c:v>
                </c:pt>
                <c:pt idx="2">
                  <c:v>53.72</c:v>
                </c:pt>
                <c:pt idx="3">
                  <c:v>61.28</c:v>
                </c:pt>
                <c:pt idx="4">
                  <c:v>110.55</c:v>
                </c:pt>
                <c:pt idx="5">
                  <c:v>226.11</c:v>
                </c:pt>
                <c:pt idx="6">
                  <c:v>440.04</c:v>
                </c:pt>
                <c:pt idx="7">
                  <c:v>880.15</c:v>
                </c:pt>
                <c:pt idx="8">
                  <c:v>1860.97</c:v>
                </c:pt>
              </c:numCache>
            </c:numRef>
          </c:val>
        </c:ser>
        <c:marker val="1"/>
        <c:axId val="64010112"/>
        <c:axId val="64011648"/>
      </c:lineChart>
      <c:catAx>
        <c:axId val="64010112"/>
        <c:scaling>
          <c:orientation val="minMax"/>
        </c:scaling>
        <c:axPos val="b"/>
        <c:numFmt formatCode="General" sourceLinked="1"/>
        <c:tickLblPos val="nextTo"/>
        <c:crossAx val="64011648"/>
        <c:crosses val="autoZero"/>
        <c:auto val="1"/>
        <c:lblAlgn val="ctr"/>
        <c:lblOffset val="100"/>
      </c:catAx>
      <c:valAx>
        <c:axId val="64011648"/>
        <c:scaling>
          <c:orientation val="minMax"/>
        </c:scaling>
        <c:axPos val="l"/>
        <c:majorGridlines/>
        <c:numFmt formatCode="General" sourceLinked="1"/>
        <c:tickLblPos val="nextTo"/>
        <c:crossAx val="6401011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throughput(QPS)</a:t>
            </a:r>
            <a:endParaRPr lang="en-US" altLang="en-US" sz="1800" b="1" i="0" u="none" strike="noStrike" baseline="0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'Seq(1 seq, coord)'!$B$4</c:f>
              <c:strCache>
                <c:ptCount val="1"/>
                <c:pt idx="0">
                  <c:v>localhost(XLOCK)</c:v>
                </c:pt>
              </c:strCache>
            </c:strRef>
          </c:tx>
          <c:cat>
            <c:numRef>
              <c:f>'Seq(1 seq, coord)'!$B$6:$B$14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seq, coord)'!$F$6:$F$14</c:f>
              <c:numCache>
                <c:formatCode>General</c:formatCode>
                <c:ptCount val="9"/>
                <c:pt idx="0">
                  <c:v>41476.565740356695</c:v>
                </c:pt>
                <c:pt idx="1">
                  <c:v>76306.753147653566</c:v>
                </c:pt>
                <c:pt idx="2">
                  <c:v>132758.04845668768</c:v>
                </c:pt>
                <c:pt idx="3">
                  <c:v>202942.66869609337</c:v>
                </c:pt>
                <c:pt idx="4">
                  <c:v>122389.65807389276</c:v>
                </c:pt>
                <c:pt idx="5">
                  <c:v>108655.05415775355</c:v>
                </c:pt>
                <c:pt idx="6">
                  <c:v>104049.81384837991</c:v>
                </c:pt>
                <c:pt idx="7">
                  <c:v>102088.01901389354</c:v>
                </c:pt>
                <c:pt idx="8">
                  <c:v>101524.85574349111</c:v>
                </c:pt>
              </c:numCache>
            </c:numRef>
          </c:val>
        </c:ser>
        <c:ser>
          <c:idx val="1"/>
          <c:order val="1"/>
          <c:tx>
            <c:strRef>
              <c:f>'Seq(1 seq, coord)'!$B$16</c:f>
              <c:strCache>
                <c:ptCount val="1"/>
                <c:pt idx="0">
                  <c:v>2 hosts(XLOCK)</c:v>
                </c:pt>
              </c:strCache>
            </c:strRef>
          </c:tx>
          <c:cat>
            <c:numRef>
              <c:f>'Seq(1 seq, coord)'!$B$6:$B$14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seq, coord)'!$F$18:$F$26</c:f>
              <c:numCache>
                <c:formatCode>General</c:formatCode>
                <c:ptCount val="9"/>
                <c:pt idx="0">
                  <c:v>14015.416958654519</c:v>
                </c:pt>
                <c:pt idx="1">
                  <c:v>26946.914578280786</c:v>
                </c:pt>
                <c:pt idx="2">
                  <c:v>51236.07019341617</c:v>
                </c:pt>
                <c:pt idx="3">
                  <c:v>92410.765854222016</c:v>
                </c:pt>
                <c:pt idx="4">
                  <c:v>150178.3367749202</c:v>
                </c:pt>
                <c:pt idx="5">
                  <c:v>113960.11396011396</c:v>
                </c:pt>
                <c:pt idx="6">
                  <c:v>112666.13854414225</c:v>
                </c:pt>
                <c:pt idx="7">
                  <c:v>110873.38778833578</c:v>
                </c:pt>
                <c:pt idx="8">
                  <c:v>110457.66580515441</c:v>
                </c:pt>
              </c:numCache>
            </c:numRef>
          </c:val>
        </c:ser>
        <c:ser>
          <c:idx val="2"/>
          <c:order val="2"/>
          <c:tx>
            <c:strRef>
              <c:f>'Seq(1 seq, coord)'!$B$29</c:f>
              <c:strCache>
                <c:ptCount val="1"/>
                <c:pt idx="0">
                  <c:v>localhost(SLOCK)</c:v>
                </c:pt>
              </c:strCache>
            </c:strRef>
          </c:tx>
          <c:val>
            <c:numRef>
              <c:f>'Seq(1 seq, coord)'!$F$31:$F$39</c:f>
              <c:numCache>
                <c:formatCode>General</c:formatCode>
                <c:ptCount val="9"/>
                <c:pt idx="0">
                  <c:v>42176.296921130321</c:v>
                </c:pt>
                <c:pt idx="1">
                  <c:v>76982.294072363366</c:v>
                </c:pt>
                <c:pt idx="2">
                  <c:v>133466.80013346678</c:v>
                </c:pt>
                <c:pt idx="3">
                  <c:v>239808.15347721821</c:v>
                </c:pt>
                <c:pt idx="4">
                  <c:v>360929.3931874577</c:v>
                </c:pt>
                <c:pt idx="5">
                  <c:v>424572.11091946397</c:v>
                </c:pt>
                <c:pt idx="6">
                  <c:v>372244.51811783866</c:v>
                </c:pt>
                <c:pt idx="7">
                  <c:v>356416.89638849441</c:v>
                </c:pt>
                <c:pt idx="8">
                  <c:v>345661.00916811818</c:v>
                </c:pt>
              </c:numCache>
            </c:numRef>
          </c:val>
        </c:ser>
        <c:ser>
          <c:idx val="3"/>
          <c:order val="3"/>
          <c:tx>
            <c:strRef>
              <c:f>'Seq(1 seq, coord)'!$B$41</c:f>
              <c:strCache>
                <c:ptCount val="1"/>
                <c:pt idx="0">
                  <c:v>2 hosts(SLOCK)</c:v>
                </c:pt>
              </c:strCache>
            </c:strRef>
          </c:tx>
          <c:val>
            <c:numRef>
              <c:f>'Seq(1 seq, coord)'!$F$43:$F$51</c:f>
              <c:numCache>
                <c:formatCode>General</c:formatCode>
                <c:ptCount val="9"/>
                <c:pt idx="0">
                  <c:v>13738.150844896276</c:v>
                </c:pt>
                <c:pt idx="1">
                  <c:v>26842.034626224668</c:v>
                </c:pt>
                <c:pt idx="2">
                  <c:v>52022.369618936136</c:v>
                </c:pt>
                <c:pt idx="3">
                  <c:v>97299.927025054727</c:v>
                </c:pt>
                <c:pt idx="4">
                  <c:v>170976.7044240222</c:v>
                </c:pt>
                <c:pt idx="5">
                  <c:v>271485.53491134301</c:v>
                </c:pt>
                <c:pt idx="6">
                  <c:v>393337.8403294204</c:v>
                </c:pt>
                <c:pt idx="7">
                  <c:v>344781.1447811448</c:v>
                </c:pt>
                <c:pt idx="8">
                  <c:v>298604.9549759716</c:v>
                </c:pt>
              </c:numCache>
            </c:numRef>
          </c:val>
        </c:ser>
        <c:marker val="1"/>
        <c:axId val="63873408"/>
        <c:axId val="63874944"/>
      </c:lineChart>
      <c:catAx>
        <c:axId val="63873408"/>
        <c:scaling>
          <c:orientation val="minMax"/>
        </c:scaling>
        <c:axPos val="b"/>
        <c:numFmt formatCode="General" sourceLinked="1"/>
        <c:tickLblPos val="nextTo"/>
        <c:crossAx val="63874944"/>
        <c:crosses val="autoZero"/>
        <c:auto val="1"/>
        <c:lblAlgn val="ctr"/>
        <c:lblOffset val="100"/>
      </c:catAx>
      <c:valAx>
        <c:axId val="63874944"/>
        <c:scaling>
          <c:orientation val="minMax"/>
        </c:scaling>
        <c:axPos val="l"/>
        <c:majorGridlines/>
        <c:numFmt formatCode="General" sourceLinked="1"/>
        <c:tickLblPos val="nextTo"/>
        <c:crossAx val="6387340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response</a:t>
            </a:r>
            <a:r>
              <a:rPr lang="en-US" altLang="en-US" baseline="0"/>
              <a:t> time(us)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'Seq(1 seq, coord)'!$B$4</c:f>
              <c:strCache>
                <c:ptCount val="1"/>
                <c:pt idx="0">
                  <c:v>localhost(XLOCK)</c:v>
                </c:pt>
              </c:strCache>
            </c:strRef>
          </c:tx>
          <c:cat>
            <c:numRef>
              <c:f>'Seq(1 seq, coord)'!$B$6:$B$14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seq, coord)'!$G$6:$G$14</c:f>
              <c:numCache>
                <c:formatCode>General</c:formatCode>
                <c:ptCount val="9"/>
                <c:pt idx="0">
                  <c:v>24.11</c:v>
                </c:pt>
                <c:pt idx="1">
                  <c:v>26.21</c:v>
                </c:pt>
                <c:pt idx="2">
                  <c:v>30.13</c:v>
                </c:pt>
                <c:pt idx="3">
                  <c:v>39.42</c:v>
                </c:pt>
                <c:pt idx="4">
                  <c:v>130.72999999999999</c:v>
                </c:pt>
                <c:pt idx="5">
                  <c:v>294.51</c:v>
                </c:pt>
                <c:pt idx="6">
                  <c:v>615.09</c:v>
                </c:pt>
                <c:pt idx="7">
                  <c:v>1253.82</c:v>
                </c:pt>
                <c:pt idx="8">
                  <c:v>2521.5500000000002</c:v>
                </c:pt>
              </c:numCache>
            </c:numRef>
          </c:val>
        </c:ser>
        <c:ser>
          <c:idx val="1"/>
          <c:order val="1"/>
          <c:tx>
            <c:strRef>
              <c:f>'Seq(1 seq, coord)'!$B$16</c:f>
              <c:strCache>
                <c:ptCount val="1"/>
                <c:pt idx="0">
                  <c:v>2 hosts(XLOCK)</c:v>
                </c:pt>
              </c:strCache>
            </c:strRef>
          </c:tx>
          <c:cat>
            <c:numRef>
              <c:f>'Seq(1 seq, coord)'!$B$6:$B$14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seq, coord)'!$G$18:$G$26</c:f>
              <c:numCache>
                <c:formatCode>General</c:formatCode>
                <c:ptCount val="9"/>
                <c:pt idx="0">
                  <c:v>71.349999999999994</c:v>
                </c:pt>
                <c:pt idx="1">
                  <c:v>74.22</c:v>
                </c:pt>
                <c:pt idx="2">
                  <c:v>78.069999999999993</c:v>
                </c:pt>
                <c:pt idx="3">
                  <c:v>86.57</c:v>
                </c:pt>
                <c:pt idx="4">
                  <c:v>106.54</c:v>
                </c:pt>
                <c:pt idx="5">
                  <c:v>280.8</c:v>
                </c:pt>
                <c:pt idx="6">
                  <c:v>568.04999999999995</c:v>
                </c:pt>
                <c:pt idx="7">
                  <c:v>1154.47</c:v>
                </c:pt>
                <c:pt idx="8">
                  <c:v>2317.63</c:v>
                </c:pt>
              </c:numCache>
            </c:numRef>
          </c:val>
        </c:ser>
        <c:ser>
          <c:idx val="2"/>
          <c:order val="2"/>
          <c:tx>
            <c:strRef>
              <c:f>'Seq(1 seq, coord)'!$B$29</c:f>
              <c:strCache>
                <c:ptCount val="1"/>
                <c:pt idx="0">
                  <c:v>localhost(SLOCK)</c:v>
                </c:pt>
              </c:strCache>
            </c:strRef>
          </c:tx>
          <c:val>
            <c:numRef>
              <c:f>'Seq(1 seq, coord)'!$G$31:$G$39</c:f>
              <c:numCache>
                <c:formatCode>General</c:formatCode>
                <c:ptCount val="9"/>
                <c:pt idx="0">
                  <c:v>23.71</c:v>
                </c:pt>
                <c:pt idx="1">
                  <c:v>25.98</c:v>
                </c:pt>
                <c:pt idx="2">
                  <c:v>29.97</c:v>
                </c:pt>
                <c:pt idx="3">
                  <c:v>33.36</c:v>
                </c:pt>
                <c:pt idx="4">
                  <c:v>44.33</c:v>
                </c:pt>
                <c:pt idx="5">
                  <c:v>75.37</c:v>
                </c:pt>
                <c:pt idx="6">
                  <c:v>171.93</c:v>
                </c:pt>
                <c:pt idx="7">
                  <c:v>359.13</c:v>
                </c:pt>
                <c:pt idx="8">
                  <c:v>740.61</c:v>
                </c:pt>
              </c:numCache>
            </c:numRef>
          </c:val>
        </c:ser>
        <c:ser>
          <c:idx val="3"/>
          <c:order val="3"/>
          <c:tx>
            <c:strRef>
              <c:f>'Seq(1 seq, coord)'!$B$41</c:f>
              <c:strCache>
                <c:ptCount val="1"/>
                <c:pt idx="0">
                  <c:v>2 hosts(SLOCK)</c:v>
                </c:pt>
              </c:strCache>
            </c:strRef>
          </c:tx>
          <c:val>
            <c:numRef>
              <c:f>'Seq(1 seq, coord)'!$G$43:$G$51</c:f>
              <c:numCache>
                <c:formatCode>General</c:formatCode>
                <c:ptCount val="9"/>
                <c:pt idx="0">
                  <c:v>72.790000000000006</c:v>
                </c:pt>
                <c:pt idx="1">
                  <c:v>74.510000000000005</c:v>
                </c:pt>
                <c:pt idx="2">
                  <c:v>76.89</c:v>
                </c:pt>
                <c:pt idx="3">
                  <c:v>82.22</c:v>
                </c:pt>
                <c:pt idx="4">
                  <c:v>93.58</c:v>
                </c:pt>
                <c:pt idx="5">
                  <c:v>117.87</c:v>
                </c:pt>
                <c:pt idx="6">
                  <c:v>162.71</c:v>
                </c:pt>
                <c:pt idx="7">
                  <c:v>371.25</c:v>
                </c:pt>
                <c:pt idx="8">
                  <c:v>857.32</c:v>
                </c:pt>
              </c:numCache>
            </c:numRef>
          </c:val>
        </c:ser>
        <c:marker val="1"/>
        <c:axId val="63887616"/>
        <c:axId val="64040960"/>
      </c:lineChart>
      <c:catAx>
        <c:axId val="63887616"/>
        <c:scaling>
          <c:orientation val="minMax"/>
        </c:scaling>
        <c:axPos val="b"/>
        <c:numFmt formatCode="General" sourceLinked="1"/>
        <c:tickLblPos val="nextTo"/>
        <c:crossAx val="64040960"/>
        <c:crosses val="autoZero"/>
        <c:auto val="1"/>
        <c:lblAlgn val="ctr"/>
        <c:lblOffset val="100"/>
      </c:catAx>
      <c:valAx>
        <c:axId val="64040960"/>
        <c:scaling>
          <c:orientation val="minMax"/>
        </c:scaling>
        <c:axPos val="l"/>
        <c:majorGridlines/>
        <c:numFmt formatCode="General" sourceLinked="1"/>
        <c:tickLblPos val="nextTo"/>
        <c:crossAx val="6388761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throughput</a:t>
            </a:r>
            <a:r>
              <a:rPr lang="en-US" sz="1800" b="1" i="0" u="none" strike="noStrike" baseline="0"/>
              <a:t>(QPS)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'Seq(1 seq per thread, coord)'!$B$4</c:f>
              <c:strCache>
                <c:ptCount val="1"/>
                <c:pt idx="0">
                  <c:v>localhost(XLOCK)</c:v>
                </c:pt>
              </c:strCache>
            </c:strRef>
          </c:tx>
          <c:cat>
            <c:numRef>
              <c:f>'Seq(1 seq per thread, coord)'!$B$6:$B$14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 per thread, coord)'!$F$6:$F$14</c:f>
              <c:numCache>
                <c:formatCode>General</c:formatCode>
                <c:ptCount val="9"/>
                <c:pt idx="0">
                  <c:v>36818.851251840941</c:v>
                </c:pt>
                <c:pt idx="1">
                  <c:v>73991.860895301521</c:v>
                </c:pt>
                <c:pt idx="2">
                  <c:v>142653.35235378033</c:v>
                </c:pt>
                <c:pt idx="3">
                  <c:v>265692.4609764198</c:v>
                </c:pt>
                <c:pt idx="4">
                  <c:v>427921.90425247396</c:v>
                </c:pt>
                <c:pt idx="5">
                  <c:v>696257.61531766749</c:v>
                </c:pt>
                <c:pt idx="6">
                  <c:v>861256.89678374375</c:v>
                </c:pt>
                <c:pt idx="7">
                  <c:v>855843.80850494793</c:v>
                </c:pt>
                <c:pt idx="8">
                  <c:v>806375.40555013076</c:v>
                </c:pt>
              </c:numCache>
            </c:numRef>
          </c:val>
        </c:ser>
        <c:ser>
          <c:idx val="1"/>
          <c:order val="1"/>
          <c:tx>
            <c:strRef>
              <c:f>'Seq(1 seq per thread, coord)'!$B$16</c:f>
              <c:strCache>
                <c:ptCount val="1"/>
                <c:pt idx="0">
                  <c:v>2 hosts(XLOCK)</c:v>
                </c:pt>
              </c:strCache>
            </c:strRef>
          </c:tx>
          <c:cat>
            <c:numRef>
              <c:f>'Seq(1 seq per thread, coord)'!$B$6:$B$14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 per thread, coord)'!$F$18:$F$26</c:f>
              <c:numCache>
                <c:formatCode>General</c:formatCode>
                <c:ptCount val="9"/>
                <c:pt idx="0">
                  <c:v>14328.700386874911</c:v>
                </c:pt>
                <c:pt idx="1">
                  <c:v>27666.343892654586</c:v>
                </c:pt>
                <c:pt idx="2">
                  <c:v>55959.70900951315</c:v>
                </c:pt>
                <c:pt idx="3">
                  <c:v>108739.97553350549</c:v>
                </c:pt>
                <c:pt idx="4">
                  <c:v>197409.00678593462</c:v>
                </c:pt>
                <c:pt idx="5">
                  <c:v>309957.3808601317</c:v>
                </c:pt>
                <c:pt idx="6">
                  <c:v>493332.30555769679</c:v>
                </c:pt>
                <c:pt idx="7">
                  <c:v>472342.15284696856</c:v>
                </c:pt>
                <c:pt idx="8">
                  <c:v>477157.92809080909</c:v>
                </c:pt>
              </c:numCache>
            </c:numRef>
          </c:val>
        </c:ser>
        <c:ser>
          <c:idx val="2"/>
          <c:order val="2"/>
          <c:tx>
            <c:strRef>
              <c:f>'Seq(1 seq per thread, coord)'!$B$29</c:f>
              <c:strCache>
                <c:ptCount val="1"/>
                <c:pt idx="0">
                  <c:v>localhost(SLOCK)</c:v>
                </c:pt>
              </c:strCache>
            </c:strRef>
          </c:tx>
          <c:val>
            <c:numRef>
              <c:f>'Seq(1 seq per thread, coord)'!$F$31:$F$39</c:f>
              <c:numCache>
                <c:formatCode>General</c:formatCode>
                <c:ptCount val="9"/>
                <c:pt idx="0">
                  <c:v>43215.211754537602</c:v>
                </c:pt>
                <c:pt idx="1">
                  <c:v>77730.275942479595</c:v>
                </c:pt>
                <c:pt idx="2">
                  <c:v>161420.50040355124</c:v>
                </c:pt>
                <c:pt idx="3">
                  <c:v>282286.52081863087</c:v>
                </c:pt>
                <c:pt idx="4">
                  <c:v>479472.58016182203</c:v>
                </c:pt>
                <c:pt idx="5">
                  <c:v>787014.26463354658</c:v>
                </c:pt>
                <c:pt idx="6">
                  <c:v>968376.4563474051</c:v>
                </c:pt>
                <c:pt idx="7">
                  <c:v>930300.16716331127</c:v>
                </c:pt>
                <c:pt idx="8">
                  <c:v>934715.93398568709</c:v>
                </c:pt>
              </c:numCache>
            </c:numRef>
          </c:val>
        </c:ser>
        <c:ser>
          <c:idx val="3"/>
          <c:order val="3"/>
          <c:tx>
            <c:strRef>
              <c:f>'Seq(1 seq per thread, coord)'!$B$41</c:f>
              <c:strCache>
                <c:ptCount val="1"/>
                <c:pt idx="0">
                  <c:v>2 hosts(SLOCK)</c:v>
                </c:pt>
              </c:strCache>
            </c:strRef>
          </c:tx>
          <c:val>
            <c:numRef>
              <c:f>'Seq(1 seq per thread, coord)'!$F$43:$F$51</c:f>
              <c:numCache>
                <c:formatCode>General</c:formatCode>
                <c:ptCount val="9"/>
                <c:pt idx="0">
                  <c:v>14196.479273140261</c:v>
                </c:pt>
                <c:pt idx="1">
                  <c:v>27995.520716685329</c:v>
                </c:pt>
                <c:pt idx="2">
                  <c:v>53533.190578158457</c:v>
                </c:pt>
                <c:pt idx="3">
                  <c:v>105750.16523463317</c:v>
                </c:pt>
                <c:pt idx="4">
                  <c:v>197287.29963008632</c:v>
                </c:pt>
                <c:pt idx="5">
                  <c:v>313756.25061280513</c:v>
                </c:pt>
                <c:pt idx="6">
                  <c:v>491325.04222324584</c:v>
                </c:pt>
                <c:pt idx="7">
                  <c:v>452744.76513865305</c:v>
                </c:pt>
                <c:pt idx="8">
                  <c:v>465971.35004277469</c:v>
                </c:pt>
              </c:numCache>
            </c:numRef>
          </c:val>
        </c:ser>
        <c:marker val="1"/>
        <c:axId val="60092416"/>
        <c:axId val="60093952"/>
      </c:lineChart>
      <c:catAx>
        <c:axId val="60092416"/>
        <c:scaling>
          <c:orientation val="minMax"/>
        </c:scaling>
        <c:axPos val="b"/>
        <c:numFmt formatCode="General" sourceLinked="1"/>
        <c:tickLblPos val="nextTo"/>
        <c:crossAx val="60093952"/>
        <c:crosses val="autoZero"/>
        <c:auto val="1"/>
        <c:lblAlgn val="ctr"/>
        <c:lblOffset val="100"/>
      </c:catAx>
      <c:valAx>
        <c:axId val="60093952"/>
        <c:scaling>
          <c:orientation val="minMax"/>
        </c:scaling>
        <c:axPos val="l"/>
        <c:majorGridlines/>
        <c:numFmt formatCode="General" sourceLinked="1"/>
        <c:tickLblPos val="nextTo"/>
        <c:crossAx val="6009241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response</a:t>
            </a:r>
            <a:r>
              <a:rPr lang="en-US" altLang="en-US" baseline="0"/>
              <a:t> time</a:t>
            </a:r>
            <a:r>
              <a:rPr lang="en-US" sz="1800" b="1" i="0" u="none" strike="noStrike" baseline="0"/>
              <a:t>(us)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'Seq(1 seq per thread, coord)'!$B$4</c:f>
              <c:strCache>
                <c:ptCount val="1"/>
                <c:pt idx="0">
                  <c:v>localhost(XLOCK)</c:v>
                </c:pt>
              </c:strCache>
            </c:strRef>
          </c:tx>
          <c:cat>
            <c:numRef>
              <c:f>'Seq(1 seq per thread, coord)'!$B$6:$B$14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 per thread, coord)'!$G$6:$G$14</c:f>
              <c:numCache>
                <c:formatCode>General</c:formatCode>
                <c:ptCount val="9"/>
                <c:pt idx="0">
                  <c:v>27.16</c:v>
                </c:pt>
                <c:pt idx="1">
                  <c:v>27.03</c:v>
                </c:pt>
                <c:pt idx="2">
                  <c:v>28.04</c:v>
                </c:pt>
                <c:pt idx="3">
                  <c:v>30.11</c:v>
                </c:pt>
                <c:pt idx="4">
                  <c:v>37.39</c:v>
                </c:pt>
                <c:pt idx="5">
                  <c:v>45.96</c:v>
                </c:pt>
                <c:pt idx="6">
                  <c:v>74.31</c:v>
                </c:pt>
                <c:pt idx="7">
                  <c:v>149.56</c:v>
                </c:pt>
                <c:pt idx="8">
                  <c:v>317.47000000000003</c:v>
                </c:pt>
              </c:numCache>
            </c:numRef>
          </c:val>
        </c:ser>
        <c:ser>
          <c:idx val="1"/>
          <c:order val="1"/>
          <c:tx>
            <c:strRef>
              <c:f>'Seq(1 seq per thread, coord)'!$B$16</c:f>
              <c:strCache>
                <c:ptCount val="1"/>
                <c:pt idx="0">
                  <c:v>2 hosts(XLOCK)</c:v>
                </c:pt>
              </c:strCache>
            </c:strRef>
          </c:tx>
          <c:cat>
            <c:numRef>
              <c:f>'Seq(1 seq per thread, coord)'!$B$6:$B$14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 per thread, coord)'!$G$18:$G$26</c:f>
              <c:numCache>
                <c:formatCode>General</c:formatCode>
                <c:ptCount val="9"/>
                <c:pt idx="0">
                  <c:v>69.790000000000006</c:v>
                </c:pt>
                <c:pt idx="1">
                  <c:v>72.290000000000006</c:v>
                </c:pt>
                <c:pt idx="2">
                  <c:v>71.48</c:v>
                </c:pt>
                <c:pt idx="3">
                  <c:v>73.569999999999993</c:v>
                </c:pt>
                <c:pt idx="4">
                  <c:v>81.05</c:v>
                </c:pt>
                <c:pt idx="5">
                  <c:v>103.24</c:v>
                </c:pt>
                <c:pt idx="6">
                  <c:v>129.72999999999999</c:v>
                </c:pt>
                <c:pt idx="7">
                  <c:v>270.99</c:v>
                </c:pt>
                <c:pt idx="8">
                  <c:v>536.51</c:v>
                </c:pt>
              </c:numCache>
            </c:numRef>
          </c:val>
        </c:ser>
        <c:ser>
          <c:idx val="2"/>
          <c:order val="2"/>
          <c:tx>
            <c:strRef>
              <c:f>'Seq(1 seq per thread, coord)'!$B$29</c:f>
              <c:strCache>
                <c:ptCount val="1"/>
                <c:pt idx="0">
                  <c:v>localhost(SLOCK)</c:v>
                </c:pt>
              </c:strCache>
            </c:strRef>
          </c:tx>
          <c:val>
            <c:numRef>
              <c:f>'Seq(1 seq per thread, coord)'!$G$31:$G$39</c:f>
              <c:numCache>
                <c:formatCode>General</c:formatCode>
                <c:ptCount val="9"/>
                <c:pt idx="0">
                  <c:v>23.14</c:v>
                </c:pt>
                <c:pt idx="1">
                  <c:v>25.73</c:v>
                </c:pt>
                <c:pt idx="2">
                  <c:v>24.78</c:v>
                </c:pt>
                <c:pt idx="3">
                  <c:v>28.34</c:v>
                </c:pt>
                <c:pt idx="4">
                  <c:v>33.369999999999997</c:v>
                </c:pt>
                <c:pt idx="5">
                  <c:v>40.659999999999997</c:v>
                </c:pt>
                <c:pt idx="6">
                  <c:v>66.09</c:v>
                </c:pt>
                <c:pt idx="7">
                  <c:v>137.59</c:v>
                </c:pt>
                <c:pt idx="8">
                  <c:v>273.88</c:v>
                </c:pt>
              </c:numCache>
            </c:numRef>
          </c:val>
        </c:ser>
        <c:ser>
          <c:idx val="3"/>
          <c:order val="3"/>
          <c:tx>
            <c:strRef>
              <c:f>'Seq(1 seq per thread, coord)'!$B$41</c:f>
              <c:strCache>
                <c:ptCount val="1"/>
                <c:pt idx="0">
                  <c:v>2 hosts(SLOCK)</c:v>
                </c:pt>
              </c:strCache>
            </c:strRef>
          </c:tx>
          <c:val>
            <c:numRef>
              <c:f>'Seq(1 seq per thread, coord)'!$G$43:$G$51</c:f>
              <c:numCache>
                <c:formatCode>General</c:formatCode>
                <c:ptCount val="9"/>
                <c:pt idx="0">
                  <c:v>70.44</c:v>
                </c:pt>
                <c:pt idx="1">
                  <c:v>71.44</c:v>
                </c:pt>
                <c:pt idx="2">
                  <c:v>74.72</c:v>
                </c:pt>
                <c:pt idx="3">
                  <c:v>75.650000000000006</c:v>
                </c:pt>
                <c:pt idx="4">
                  <c:v>81.099999999999994</c:v>
                </c:pt>
                <c:pt idx="5">
                  <c:v>101.99</c:v>
                </c:pt>
                <c:pt idx="6">
                  <c:v>130.26</c:v>
                </c:pt>
                <c:pt idx="7">
                  <c:v>282.72000000000003</c:v>
                </c:pt>
                <c:pt idx="8">
                  <c:v>549.39</c:v>
                </c:pt>
              </c:numCache>
            </c:numRef>
          </c:val>
        </c:ser>
        <c:marker val="1"/>
        <c:axId val="66593920"/>
        <c:axId val="60047744"/>
      </c:lineChart>
      <c:catAx>
        <c:axId val="66593920"/>
        <c:scaling>
          <c:orientation val="minMax"/>
        </c:scaling>
        <c:axPos val="b"/>
        <c:numFmt formatCode="General" sourceLinked="1"/>
        <c:tickLblPos val="nextTo"/>
        <c:crossAx val="60047744"/>
        <c:crosses val="autoZero"/>
        <c:auto val="1"/>
        <c:lblAlgn val="ctr"/>
        <c:lblOffset val="100"/>
      </c:catAx>
      <c:valAx>
        <c:axId val="60047744"/>
        <c:scaling>
          <c:orientation val="minMax"/>
        </c:scaling>
        <c:axPos val="l"/>
        <c:majorGridlines/>
        <c:numFmt formatCode="General" sourceLinked="1"/>
        <c:tickLblPos val="nextTo"/>
        <c:crossAx val="6659392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throughput</a:t>
            </a:r>
            <a:r>
              <a:rPr lang="en-US" sz="1800" b="1" i="0" u="none" strike="noStrike" baseline="0"/>
              <a:t>(QPS)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'Seq(1 seq, cata)'!$B$4</c:f>
              <c:strCache>
                <c:ptCount val="1"/>
                <c:pt idx="0">
                  <c:v>localhost(XLOCK)</c:v>
                </c:pt>
              </c:strCache>
            </c:strRef>
          </c:tx>
          <c:cat>
            <c:numRef>
              <c:f>'Seq(1 seq,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seq, cata)'!$F$6:$F$14</c:f>
              <c:numCache>
                <c:formatCode>General</c:formatCode>
                <c:ptCount val="9"/>
                <c:pt idx="0">
                  <c:v>28538.812785388127</c:v>
                </c:pt>
                <c:pt idx="1">
                  <c:v>57520.851308599369</c:v>
                </c:pt>
                <c:pt idx="2">
                  <c:v>101988.78123406424</c:v>
                </c:pt>
                <c:pt idx="3">
                  <c:v>105778.13037154569</c:v>
                </c:pt>
                <c:pt idx="4">
                  <c:v>112099.76879422687</c:v>
                </c:pt>
                <c:pt idx="5">
                  <c:v>116452.56377597438</c:v>
                </c:pt>
                <c:pt idx="6">
                  <c:v>110807.16091277399</c:v>
                </c:pt>
                <c:pt idx="7">
                  <c:v>103400.92091445188</c:v>
                </c:pt>
                <c:pt idx="8">
                  <c:v>110889.23638033276</c:v>
                </c:pt>
              </c:numCache>
            </c:numRef>
          </c:val>
        </c:ser>
        <c:ser>
          <c:idx val="1"/>
          <c:order val="1"/>
          <c:tx>
            <c:strRef>
              <c:f>'Seq(1 seq, cata)'!$B$16</c:f>
              <c:strCache>
                <c:ptCount val="1"/>
                <c:pt idx="0">
                  <c:v>2 hosts(XLOCK)</c:v>
                </c:pt>
              </c:strCache>
            </c:strRef>
          </c:tx>
          <c:cat>
            <c:numRef>
              <c:f>'Seq(1 seq,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seq, cata)'!$F$18:$F$26</c:f>
              <c:numCache>
                <c:formatCode>General</c:formatCode>
                <c:ptCount val="9"/>
                <c:pt idx="0">
                  <c:v>11663.167716351762</c:v>
                </c:pt>
                <c:pt idx="1">
                  <c:v>22388.895108026416</c:v>
                </c:pt>
                <c:pt idx="2">
                  <c:v>43393.360815795182</c:v>
                </c:pt>
                <c:pt idx="3">
                  <c:v>88446.655610834714</c:v>
                </c:pt>
                <c:pt idx="4">
                  <c:v>127887.45903604828</c:v>
                </c:pt>
                <c:pt idx="5">
                  <c:v>133366.67500208388</c:v>
                </c:pt>
                <c:pt idx="6">
                  <c:v>135452.60217147451</c:v>
                </c:pt>
                <c:pt idx="7">
                  <c:v>133056.13305613305</c:v>
                </c:pt>
                <c:pt idx="8">
                  <c:v>133678.66989723453</c:v>
                </c:pt>
              </c:numCache>
            </c:numRef>
          </c:val>
        </c:ser>
        <c:ser>
          <c:idx val="2"/>
          <c:order val="2"/>
          <c:tx>
            <c:strRef>
              <c:f>'Seq(1 seq, cata)'!$B$29</c:f>
              <c:strCache>
                <c:ptCount val="1"/>
                <c:pt idx="0">
                  <c:v>localhost(SLOCK)</c:v>
                </c:pt>
              </c:strCache>
            </c:strRef>
          </c:tx>
          <c:cat>
            <c:numRef>
              <c:f>'Seq(1 seq,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seq, cata)'!$F$31:$F$39</c:f>
              <c:numCache>
                <c:formatCode>General</c:formatCode>
                <c:ptCount val="9"/>
                <c:pt idx="0">
                  <c:v>36509.675063891933</c:v>
                </c:pt>
                <c:pt idx="1">
                  <c:v>56609.114067364841</c:v>
                </c:pt>
                <c:pt idx="2">
                  <c:v>106269.92561105208</c:v>
                </c:pt>
                <c:pt idx="3">
                  <c:v>110497.23756906077</c:v>
                </c:pt>
                <c:pt idx="4">
                  <c:v>118703.16789079308</c:v>
                </c:pt>
                <c:pt idx="5">
                  <c:v>110699.83049088456</c:v>
                </c:pt>
                <c:pt idx="6">
                  <c:v>119807.55910818248</c:v>
                </c:pt>
                <c:pt idx="7">
                  <c:v>108172.06118482212</c:v>
                </c:pt>
                <c:pt idx="8">
                  <c:v>110800.44666430062</c:v>
                </c:pt>
              </c:numCache>
            </c:numRef>
          </c:val>
        </c:ser>
        <c:ser>
          <c:idx val="3"/>
          <c:order val="3"/>
          <c:tx>
            <c:strRef>
              <c:f>'Seq(1 seq, cata)'!$B$41</c:f>
              <c:strCache>
                <c:ptCount val="1"/>
                <c:pt idx="0">
                  <c:v>2 hosts(SLOCK)</c:v>
                </c:pt>
              </c:strCache>
            </c:strRef>
          </c:tx>
          <c:cat>
            <c:numRef>
              <c:f>'Seq(1 seq,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seq, cata)'!$F$43:$F$51</c:f>
              <c:numCache>
                <c:formatCode>General</c:formatCode>
                <c:ptCount val="9"/>
                <c:pt idx="0">
                  <c:v>12489.072061945799</c:v>
                </c:pt>
                <c:pt idx="1">
                  <c:v>22558.087074216106</c:v>
                </c:pt>
                <c:pt idx="2">
                  <c:v>43365.134431916733</c:v>
                </c:pt>
                <c:pt idx="3">
                  <c:v>85901.428111242349</c:v>
                </c:pt>
                <c:pt idx="4">
                  <c:v>135421.07490478206</c:v>
                </c:pt>
                <c:pt idx="5">
                  <c:v>142450.14245014245</c:v>
                </c:pt>
                <c:pt idx="6">
                  <c:v>143926.95706928734</c:v>
                </c:pt>
                <c:pt idx="7">
                  <c:v>130213.63173957275</c:v>
                </c:pt>
                <c:pt idx="8">
                  <c:v>131712.98916454861</c:v>
                </c:pt>
              </c:numCache>
            </c:numRef>
          </c:val>
        </c:ser>
        <c:marker val="1"/>
        <c:axId val="78652544"/>
        <c:axId val="78654464"/>
      </c:lineChart>
      <c:catAx>
        <c:axId val="78652544"/>
        <c:scaling>
          <c:orientation val="minMax"/>
        </c:scaling>
        <c:axPos val="b"/>
        <c:numFmt formatCode="General" sourceLinked="1"/>
        <c:tickLblPos val="nextTo"/>
        <c:crossAx val="78654464"/>
        <c:crosses val="autoZero"/>
        <c:auto val="1"/>
        <c:lblAlgn val="ctr"/>
        <c:lblOffset val="100"/>
      </c:catAx>
      <c:valAx>
        <c:axId val="78654464"/>
        <c:scaling>
          <c:orientation val="minMax"/>
        </c:scaling>
        <c:axPos val="l"/>
        <c:majorGridlines/>
        <c:numFmt formatCode="General" sourceLinked="1"/>
        <c:tickLblPos val="nextTo"/>
        <c:crossAx val="7865254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response</a:t>
            </a:r>
            <a:r>
              <a:rPr lang="en-US" altLang="en-US" baseline="0"/>
              <a:t> time</a:t>
            </a:r>
            <a:r>
              <a:rPr lang="en-US" sz="1800" b="1" i="0" u="none" strike="noStrike" baseline="0"/>
              <a:t>(us)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'Seq(1 seq, cata)'!$B$4</c:f>
              <c:strCache>
                <c:ptCount val="1"/>
                <c:pt idx="0">
                  <c:v>localhost(XLOCK)</c:v>
                </c:pt>
              </c:strCache>
            </c:strRef>
          </c:tx>
          <c:cat>
            <c:numRef>
              <c:f>'Seq(1 seq,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seq, cata)'!$G$6:$G$14</c:f>
              <c:numCache>
                <c:formatCode>General</c:formatCode>
                <c:ptCount val="9"/>
                <c:pt idx="0">
                  <c:v>35.04</c:v>
                </c:pt>
                <c:pt idx="1">
                  <c:v>34.770000000000003</c:v>
                </c:pt>
                <c:pt idx="2">
                  <c:v>39.22</c:v>
                </c:pt>
                <c:pt idx="3">
                  <c:v>75.63</c:v>
                </c:pt>
                <c:pt idx="4">
                  <c:v>142.72999999999999</c:v>
                </c:pt>
                <c:pt idx="5">
                  <c:v>274.79000000000002</c:v>
                </c:pt>
                <c:pt idx="6">
                  <c:v>577.58000000000004</c:v>
                </c:pt>
                <c:pt idx="7">
                  <c:v>1237.9000000000001</c:v>
                </c:pt>
                <c:pt idx="8">
                  <c:v>2308.61</c:v>
                </c:pt>
              </c:numCache>
            </c:numRef>
          </c:val>
        </c:ser>
        <c:ser>
          <c:idx val="1"/>
          <c:order val="1"/>
          <c:tx>
            <c:strRef>
              <c:f>'Seq(1 seq, cata)'!$B$16</c:f>
              <c:strCache>
                <c:ptCount val="1"/>
                <c:pt idx="0">
                  <c:v>2 hosts(XLOCK)</c:v>
                </c:pt>
              </c:strCache>
            </c:strRef>
          </c:tx>
          <c:cat>
            <c:numRef>
              <c:f>'Seq(1 seq,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seq, cata)'!$G$18:$G$26</c:f>
              <c:numCache>
                <c:formatCode>General</c:formatCode>
                <c:ptCount val="9"/>
                <c:pt idx="0">
                  <c:v>85.74</c:v>
                </c:pt>
                <c:pt idx="1">
                  <c:v>89.33</c:v>
                </c:pt>
                <c:pt idx="2">
                  <c:v>92.18</c:v>
                </c:pt>
                <c:pt idx="3">
                  <c:v>90.45</c:v>
                </c:pt>
                <c:pt idx="4">
                  <c:v>125.11</c:v>
                </c:pt>
                <c:pt idx="5">
                  <c:v>239.94</c:v>
                </c:pt>
                <c:pt idx="6">
                  <c:v>472.49</c:v>
                </c:pt>
                <c:pt idx="7">
                  <c:v>962</c:v>
                </c:pt>
                <c:pt idx="8">
                  <c:v>1915.04</c:v>
                </c:pt>
              </c:numCache>
            </c:numRef>
          </c:val>
        </c:ser>
        <c:ser>
          <c:idx val="2"/>
          <c:order val="2"/>
          <c:tx>
            <c:strRef>
              <c:f>'Seq(1 seq, cata)'!$B$29</c:f>
              <c:strCache>
                <c:ptCount val="1"/>
                <c:pt idx="0">
                  <c:v>localhost(SLOCK)</c:v>
                </c:pt>
              </c:strCache>
            </c:strRef>
          </c:tx>
          <c:cat>
            <c:numRef>
              <c:f>'Seq(1 seq,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seq, cata)'!$G$31:$G$39</c:f>
              <c:numCache>
                <c:formatCode>General</c:formatCode>
                <c:ptCount val="9"/>
                <c:pt idx="0">
                  <c:v>27.39</c:v>
                </c:pt>
                <c:pt idx="1">
                  <c:v>35.33</c:v>
                </c:pt>
                <c:pt idx="2">
                  <c:v>37.64</c:v>
                </c:pt>
                <c:pt idx="3">
                  <c:v>72.400000000000006</c:v>
                </c:pt>
                <c:pt idx="4">
                  <c:v>134.79</c:v>
                </c:pt>
                <c:pt idx="5">
                  <c:v>289.07</c:v>
                </c:pt>
                <c:pt idx="6">
                  <c:v>534.19000000000005</c:v>
                </c:pt>
                <c:pt idx="7">
                  <c:v>1183.3</c:v>
                </c:pt>
                <c:pt idx="8">
                  <c:v>2310.46</c:v>
                </c:pt>
              </c:numCache>
            </c:numRef>
          </c:val>
        </c:ser>
        <c:ser>
          <c:idx val="3"/>
          <c:order val="3"/>
          <c:tx>
            <c:strRef>
              <c:f>'Seq(1 seq, cata)'!$B$41</c:f>
              <c:strCache>
                <c:ptCount val="1"/>
                <c:pt idx="0">
                  <c:v>2 hosts(SLOCK)</c:v>
                </c:pt>
              </c:strCache>
            </c:strRef>
          </c:tx>
          <c:cat>
            <c:numRef>
              <c:f>'Seq(1 seq,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seq, cata)'!$G$43:$G$51</c:f>
              <c:numCache>
                <c:formatCode>General</c:formatCode>
                <c:ptCount val="9"/>
                <c:pt idx="0">
                  <c:v>80.069999999999993</c:v>
                </c:pt>
                <c:pt idx="1">
                  <c:v>88.66</c:v>
                </c:pt>
                <c:pt idx="2">
                  <c:v>92.24</c:v>
                </c:pt>
                <c:pt idx="3">
                  <c:v>93.13</c:v>
                </c:pt>
                <c:pt idx="4">
                  <c:v>118.15</c:v>
                </c:pt>
                <c:pt idx="5">
                  <c:v>224.64</c:v>
                </c:pt>
                <c:pt idx="6">
                  <c:v>444.67</c:v>
                </c:pt>
                <c:pt idx="7">
                  <c:v>983</c:v>
                </c:pt>
                <c:pt idx="8">
                  <c:v>1943.62</c:v>
                </c:pt>
              </c:numCache>
            </c:numRef>
          </c:val>
        </c:ser>
        <c:marker val="1"/>
        <c:axId val="78849920"/>
        <c:axId val="78851456"/>
      </c:lineChart>
      <c:catAx>
        <c:axId val="78849920"/>
        <c:scaling>
          <c:orientation val="minMax"/>
        </c:scaling>
        <c:axPos val="b"/>
        <c:numFmt formatCode="General" sourceLinked="1"/>
        <c:tickLblPos val="nextTo"/>
        <c:crossAx val="78851456"/>
        <c:crosses val="autoZero"/>
        <c:auto val="1"/>
        <c:lblAlgn val="ctr"/>
        <c:lblOffset val="100"/>
      </c:catAx>
      <c:valAx>
        <c:axId val="78851456"/>
        <c:scaling>
          <c:orientation val="minMax"/>
        </c:scaling>
        <c:axPos val="l"/>
        <c:majorGridlines/>
        <c:numFmt formatCode="General" sourceLinked="1"/>
        <c:tickLblPos val="nextTo"/>
        <c:crossAx val="7884992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throughput</a:t>
            </a:r>
            <a:r>
              <a:rPr lang="en-US" sz="1800" b="1" i="0" u="none" strike="noStrike" baseline="0"/>
              <a:t>(QPS)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'Seq(1 seq per thread, cata)'!$B$4</c:f>
              <c:strCache>
                <c:ptCount val="1"/>
                <c:pt idx="0">
                  <c:v>localhost(XLOCK)</c:v>
                </c:pt>
              </c:strCache>
            </c:strRef>
          </c:tx>
          <c:cat>
            <c:numRef>
              <c:f>'Seq(1 seq per thread,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 per thread, cata)'!$F$6:$F$14</c:f>
              <c:numCache>
                <c:formatCode>General</c:formatCode>
                <c:ptCount val="9"/>
                <c:pt idx="0">
                  <c:v>25542.784163473818</c:v>
                </c:pt>
                <c:pt idx="1">
                  <c:v>48007.68122899664</c:v>
                </c:pt>
                <c:pt idx="2">
                  <c:v>68917.987594762235</c:v>
                </c:pt>
                <c:pt idx="3">
                  <c:v>70802.725904947336</c:v>
                </c:pt>
                <c:pt idx="4">
                  <c:v>73787.124146836373</c:v>
                </c:pt>
                <c:pt idx="5">
                  <c:v>73174.635841851312</c:v>
                </c:pt>
                <c:pt idx="6">
                  <c:v>72981.879967614295</c:v>
                </c:pt>
                <c:pt idx="7">
                  <c:v>70739.727541518136</c:v>
                </c:pt>
                <c:pt idx="8">
                  <c:v>70009.434865245508</c:v>
                </c:pt>
              </c:numCache>
            </c:numRef>
          </c:val>
        </c:ser>
        <c:ser>
          <c:idx val="1"/>
          <c:order val="1"/>
          <c:tx>
            <c:strRef>
              <c:f>'Seq(1 seq per thread, cata)'!$B$16</c:f>
              <c:strCache>
                <c:ptCount val="1"/>
                <c:pt idx="0">
                  <c:v>2 hosts(XLOCK)</c:v>
                </c:pt>
              </c:strCache>
            </c:strRef>
          </c:tx>
          <c:cat>
            <c:numRef>
              <c:f>'Seq(1 seq per thread,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 per thread, cata)'!$F$18:$F$26</c:f>
              <c:numCache>
                <c:formatCode>General</c:formatCode>
                <c:ptCount val="9"/>
                <c:pt idx="0">
                  <c:v>13051.422605063952</c:v>
                </c:pt>
                <c:pt idx="1">
                  <c:v>21817.388458601505</c:v>
                </c:pt>
                <c:pt idx="2">
                  <c:v>40621.509089062652</c:v>
                </c:pt>
                <c:pt idx="3">
                  <c:v>66110.238823237756</c:v>
                </c:pt>
                <c:pt idx="4">
                  <c:v>85346.988851549584</c:v>
                </c:pt>
                <c:pt idx="5">
                  <c:v>86023.81784456571</c:v>
                </c:pt>
                <c:pt idx="6">
                  <c:v>84959.511482808972</c:v>
                </c:pt>
                <c:pt idx="7">
                  <c:v>84152.947982959027</c:v>
                </c:pt>
                <c:pt idx="8">
                  <c:v>83901.965796839242</c:v>
                </c:pt>
              </c:numCache>
            </c:numRef>
          </c:val>
        </c:ser>
        <c:ser>
          <c:idx val="2"/>
          <c:order val="2"/>
          <c:tx>
            <c:strRef>
              <c:f>'Seq(1 seq per thread, cata)'!$B$29</c:f>
              <c:strCache>
                <c:ptCount val="1"/>
                <c:pt idx="0">
                  <c:v>localhost(SLOCK)</c:v>
                </c:pt>
              </c:strCache>
            </c:strRef>
          </c:tx>
          <c:cat>
            <c:numRef>
              <c:f>'Seq(1 seq per thread,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 per thread, cata)'!$F$31:$F$39</c:f>
              <c:numCache>
                <c:formatCode>General</c:formatCode>
                <c:ptCount val="9"/>
                <c:pt idx="0">
                  <c:v>26652.452025586354</c:v>
                </c:pt>
                <c:pt idx="1">
                  <c:v>52770.448548812667</c:v>
                </c:pt>
                <c:pt idx="2">
                  <c:v>73179.656055616535</c:v>
                </c:pt>
                <c:pt idx="3">
                  <c:v>65125.366330185614</c:v>
                </c:pt>
                <c:pt idx="4">
                  <c:v>71662.113136561122</c:v>
                </c:pt>
                <c:pt idx="5">
                  <c:v>73104.425102231966</c:v>
                </c:pt>
                <c:pt idx="6">
                  <c:v>72545.085637206561</c:v>
                </c:pt>
                <c:pt idx="7">
                  <c:v>72282.080820401621</c:v>
                </c:pt>
                <c:pt idx="8">
                  <c:v>69883.491117153128</c:v>
                </c:pt>
              </c:numCache>
            </c:numRef>
          </c:val>
        </c:ser>
        <c:ser>
          <c:idx val="3"/>
          <c:order val="3"/>
          <c:tx>
            <c:strRef>
              <c:f>'Seq(1 seq per thread, cata)'!$B$41</c:f>
              <c:strCache>
                <c:ptCount val="1"/>
                <c:pt idx="0">
                  <c:v>2 hosts(SLOCK)</c:v>
                </c:pt>
              </c:strCache>
            </c:strRef>
          </c:tx>
          <c:cat>
            <c:numRef>
              <c:f>'Seq(1 seq per thread,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 per thread, cata)'!$F$43:$F$51</c:f>
              <c:numCache>
                <c:formatCode>General</c:formatCode>
                <c:ptCount val="9"/>
                <c:pt idx="0">
                  <c:v>13007.284079084287</c:v>
                </c:pt>
                <c:pt idx="1">
                  <c:v>21296.986476413585</c:v>
                </c:pt>
                <c:pt idx="2">
                  <c:v>40920.716112531969</c:v>
                </c:pt>
                <c:pt idx="3">
                  <c:v>70230.884031252746</c:v>
                </c:pt>
                <c:pt idx="4">
                  <c:v>87637.618447718676</c:v>
                </c:pt>
                <c:pt idx="5">
                  <c:v>88500.470158747718</c:v>
                </c:pt>
                <c:pt idx="6">
                  <c:v>86951.796098038147</c:v>
                </c:pt>
                <c:pt idx="7">
                  <c:v>88054.208372029025</c:v>
                </c:pt>
                <c:pt idx="8">
                  <c:v>82544.165965363689</c:v>
                </c:pt>
              </c:numCache>
            </c:numRef>
          </c:val>
        </c:ser>
        <c:marker val="1"/>
        <c:axId val="71395968"/>
        <c:axId val="71492352"/>
      </c:lineChart>
      <c:catAx>
        <c:axId val="71395968"/>
        <c:scaling>
          <c:orientation val="minMax"/>
        </c:scaling>
        <c:axPos val="b"/>
        <c:numFmt formatCode="General" sourceLinked="1"/>
        <c:tickLblPos val="nextTo"/>
        <c:crossAx val="71492352"/>
        <c:crosses val="autoZero"/>
        <c:auto val="1"/>
        <c:lblAlgn val="ctr"/>
        <c:lblOffset val="100"/>
      </c:catAx>
      <c:valAx>
        <c:axId val="71492352"/>
        <c:scaling>
          <c:orientation val="minMax"/>
        </c:scaling>
        <c:axPos val="l"/>
        <c:majorGridlines/>
        <c:numFmt formatCode="General" sourceLinked="1"/>
        <c:tickLblPos val="nextTo"/>
        <c:crossAx val="7139596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response</a:t>
            </a:r>
            <a:r>
              <a:rPr lang="en-US" altLang="en-US" baseline="0"/>
              <a:t> time</a:t>
            </a:r>
            <a:r>
              <a:rPr lang="en-US" sz="1800" b="1" i="0" u="none" strike="noStrike" baseline="0"/>
              <a:t>(us)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'Seq(1 seq per thread, cata)'!$B$4</c:f>
              <c:strCache>
                <c:ptCount val="1"/>
                <c:pt idx="0">
                  <c:v>localhost(XLOCK)</c:v>
                </c:pt>
              </c:strCache>
            </c:strRef>
          </c:tx>
          <c:cat>
            <c:numRef>
              <c:f>'Seq(1 seq per thread,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 per thread, cata)'!$G$6:$G$14</c:f>
              <c:numCache>
                <c:formatCode>General</c:formatCode>
                <c:ptCount val="9"/>
                <c:pt idx="0">
                  <c:v>39.15</c:v>
                </c:pt>
                <c:pt idx="1">
                  <c:v>41.66</c:v>
                </c:pt>
                <c:pt idx="2">
                  <c:v>58.04</c:v>
                </c:pt>
                <c:pt idx="3">
                  <c:v>112.99</c:v>
                </c:pt>
                <c:pt idx="4">
                  <c:v>216.84</c:v>
                </c:pt>
                <c:pt idx="5">
                  <c:v>437.31</c:v>
                </c:pt>
                <c:pt idx="6">
                  <c:v>876.93</c:v>
                </c:pt>
                <c:pt idx="7">
                  <c:v>1809.45</c:v>
                </c:pt>
                <c:pt idx="8">
                  <c:v>3656.65</c:v>
                </c:pt>
              </c:numCache>
            </c:numRef>
          </c:val>
        </c:ser>
        <c:ser>
          <c:idx val="1"/>
          <c:order val="1"/>
          <c:tx>
            <c:strRef>
              <c:f>'Seq(1 seq per thread, cata)'!$B$16</c:f>
              <c:strCache>
                <c:ptCount val="1"/>
                <c:pt idx="0">
                  <c:v>2 hosts(XLOCK)</c:v>
                </c:pt>
              </c:strCache>
            </c:strRef>
          </c:tx>
          <c:cat>
            <c:numRef>
              <c:f>'Seq(1 seq per thread,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 per thread, cata)'!$G$18:$G$26</c:f>
              <c:numCache>
                <c:formatCode>General</c:formatCode>
                <c:ptCount val="9"/>
                <c:pt idx="0">
                  <c:v>76.62</c:v>
                </c:pt>
                <c:pt idx="1">
                  <c:v>91.67</c:v>
                </c:pt>
                <c:pt idx="2">
                  <c:v>98.47</c:v>
                </c:pt>
                <c:pt idx="3">
                  <c:v>121.01</c:v>
                </c:pt>
                <c:pt idx="4">
                  <c:v>187.47</c:v>
                </c:pt>
                <c:pt idx="5">
                  <c:v>371.99</c:v>
                </c:pt>
                <c:pt idx="6">
                  <c:v>753.3</c:v>
                </c:pt>
                <c:pt idx="7">
                  <c:v>1521.04</c:v>
                </c:pt>
                <c:pt idx="8">
                  <c:v>3051.18</c:v>
                </c:pt>
              </c:numCache>
            </c:numRef>
          </c:val>
        </c:ser>
        <c:ser>
          <c:idx val="2"/>
          <c:order val="2"/>
          <c:tx>
            <c:strRef>
              <c:f>'Seq(1 seq per thread, cata)'!$B$29</c:f>
              <c:strCache>
                <c:ptCount val="1"/>
                <c:pt idx="0">
                  <c:v>localhost(SLOCK)</c:v>
                </c:pt>
              </c:strCache>
            </c:strRef>
          </c:tx>
          <c:cat>
            <c:numRef>
              <c:f>'Seq(1 seq per thread,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 per thread, cata)'!$G$31:$G$39</c:f>
              <c:numCache>
                <c:formatCode>General</c:formatCode>
                <c:ptCount val="9"/>
                <c:pt idx="0">
                  <c:v>37.520000000000003</c:v>
                </c:pt>
                <c:pt idx="1">
                  <c:v>37.9</c:v>
                </c:pt>
                <c:pt idx="2">
                  <c:v>54.66</c:v>
                </c:pt>
                <c:pt idx="3">
                  <c:v>122.84</c:v>
                </c:pt>
                <c:pt idx="4">
                  <c:v>223.27</c:v>
                </c:pt>
                <c:pt idx="5">
                  <c:v>437.73</c:v>
                </c:pt>
                <c:pt idx="6">
                  <c:v>882.21</c:v>
                </c:pt>
                <c:pt idx="7">
                  <c:v>1770.84</c:v>
                </c:pt>
                <c:pt idx="8">
                  <c:v>3663.24</c:v>
                </c:pt>
              </c:numCache>
            </c:numRef>
          </c:val>
        </c:ser>
        <c:ser>
          <c:idx val="3"/>
          <c:order val="3"/>
          <c:tx>
            <c:strRef>
              <c:f>'Seq(1 seq per thread, cata)'!$B$41</c:f>
              <c:strCache>
                <c:ptCount val="1"/>
                <c:pt idx="0">
                  <c:v>2 hosts(SLOCK)</c:v>
                </c:pt>
              </c:strCache>
            </c:strRef>
          </c:tx>
          <c:cat>
            <c:numRef>
              <c:f>'Seq(1 seq per thread, cata)'!$B$6:$B$14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'Seq(1 seq per thread, cata)'!$G$43:$G$51</c:f>
              <c:numCache>
                <c:formatCode>General</c:formatCode>
                <c:ptCount val="9"/>
                <c:pt idx="0">
                  <c:v>76.88</c:v>
                </c:pt>
                <c:pt idx="1">
                  <c:v>93.91</c:v>
                </c:pt>
                <c:pt idx="2">
                  <c:v>97.75</c:v>
                </c:pt>
                <c:pt idx="3">
                  <c:v>113.91</c:v>
                </c:pt>
                <c:pt idx="4">
                  <c:v>182.57</c:v>
                </c:pt>
                <c:pt idx="5">
                  <c:v>361.58</c:v>
                </c:pt>
                <c:pt idx="6">
                  <c:v>736.04</c:v>
                </c:pt>
                <c:pt idx="7">
                  <c:v>1453.65</c:v>
                </c:pt>
                <c:pt idx="8">
                  <c:v>3101.37</c:v>
                </c:pt>
              </c:numCache>
            </c:numRef>
          </c:val>
        </c:ser>
        <c:marker val="1"/>
        <c:axId val="78859648"/>
        <c:axId val="78862208"/>
      </c:lineChart>
      <c:catAx>
        <c:axId val="78859648"/>
        <c:scaling>
          <c:orientation val="minMax"/>
        </c:scaling>
        <c:axPos val="b"/>
        <c:numFmt formatCode="General" sourceLinked="1"/>
        <c:tickLblPos val="nextTo"/>
        <c:crossAx val="78862208"/>
        <c:crosses val="autoZero"/>
        <c:auto val="1"/>
        <c:lblAlgn val="ctr"/>
        <c:lblOffset val="100"/>
      </c:catAx>
      <c:valAx>
        <c:axId val="78862208"/>
        <c:scaling>
          <c:orientation val="minMax"/>
        </c:scaling>
        <c:axPos val="l"/>
        <c:majorGridlines/>
        <c:numFmt formatCode="General" sourceLinked="1"/>
        <c:tickLblPos val="nextTo"/>
        <c:crossAx val="7885964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throughput</a:t>
            </a:r>
            <a:r>
              <a:rPr lang="en-US" sz="1800" b="1" i="0" u="none" strike="noStrike" baseline="0"/>
              <a:t>(QPS)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'Sequence(final)'!$B$4</c:f>
              <c:strCache>
                <c:ptCount val="1"/>
                <c:pt idx="0">
                  <c:v>localhost-single-sequence</c:v>
                </c:pt>
              </c:strCache>
            </c:strRef>
          </c:tx>
          <c:cat>
            <c:numRef>
              <c:f>'Sequence(final)'!$B$6:$B$14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'Sequence(final)'!$F$6:$F$14</c:f>
              <c:numCache>
                <c:formatCode>General</c:formatCode>
                <c:ptCount val="9"/>
                <c:pt idx="0">
                  <c:v>43687.1996505024</c:v>
                </c:pt>
                <c:pt idx="1">
                  <c:v>84530.853761622988</c:v>
                </c:pt>
                <c:pt idx="2">
                  <c:v>157170.92337917487</c:v>
                </c:pt>
                <c:pt idx="3">
                  <c:v>261523.37365152012</c:v>
                </c:pt>
                <c:pt idx="4">
                  <c:v>471142.5206124853</c:v>
                </c:pt>
                <c:pt idx="5">
                  <c:v>649878.14784727863</c:v>
                </c:pt>
                <c:pt idx="6">
                  <c:v>649482.44367769442</c:v>
                </c:pt>
                <c:pt idx="7">
                  <c:v>615828.72263651679</c:v>
                </c:pt>
                <c:pt idx="8">
                  <c:v>613746.97322049341</c:v>
                </c:pt>
              </c:numCache>
            </c:numRef>
          </c:val>
        </c:ser>
        <c:ser>
          <c:idx val="1"/>
          <c:order val="1"/>
          <c:tx>
            <c:strRef>
              <c:f>'Sequence(final)'!$B$16</c:f>
              <c:strCache>
                <c:ptCount val="1"/>
                <c:pt idx="0">
                  <c:v>2hosts-single-sequence</c:v>
                </c:pt>
              </c:strCache>
            </c:strRef>
          </c:tx>
          <c:cat>
            <c:numRef>
              <c:f>'Sequence(final)'!$B$6:$B$14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'Sequence(final)'!$F$18:$F$26</c:f>
              <c:numCache>
                <c:formatCode>General</c:formatCode>
                <c:ptCount val="9"/>
                <c:pt idx="0">
                  <c:v>14411.298457991064</c:v>
                </c:pt>
                <c:pt idx="1">
                  <c:v>28224.66836014677</c:v>
                </c:pt>
                <c:pt idx="2">
                  <c:v>54712.07769115032</c:v>
                </c:pt>
                <c:pt idx="3">
                  <c:v>107918.52151625522</c:v>
                </c:pt>
                <c:pt idx="4">
                  <c:v>190294.95718363463</c:v>
                </c:pt>
                <c:pt idx="5">
                  <c:v>301573.83846951282</c:v>
                </c:pt>
                <c:pt idx="6">
                  <c:v>452264.85760723625</c:v>
                </c:pt>
                <c:pt idx="7">
                  <c:v>503599.95278750442</c:v>
                </c:pt>
                <c:pt idx="8">
                  <c:v>468581.26041037467</c:v>
                </c:pt>
              </c:numCache>
            </c:numRef>
          </c:val>
        </c:ser>
        <c:ser>
          <c:idx val="2"/>
          <c:order val="2"/>
          <c:tx>
            <c:strRef>
              <c:f>'Sequence(final)'!$B$29</c:f>
              <c:strCache>
                <c:ptCount val="1"/>
                <c:pt idx="0">
                  <c:v>localhost-multi-sequence</c:v>
                </c:pt>
              </c:strCache>
            </c:strRef>
          </c:tx>
          <c:cat>
            <c:numRef>
              <c:f>'Sequence(final)'!$B$6:$B$14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'Sequence(final)'!$F$31:$F$39</c:f>
              <c:numCache>
                <c:formatCode>General</c:formatCode>
                <c:ptCount val="9"/>
                <c:pt idx="0">
                  <c:v>40420.371867421185</c:v>
                </c:pt>
                <c:pt idx="1">
                  <c:v>83717.036416910851</c:v>
                </c:pt>
                <c:pt idx="2">
                  <c:v>162403.57287860333</c:v>
                </c:pt>
                <c:pt idx="3">
                  <c:v>288496.21348719794</c:v>
                </c:pt>
                <c:pt idx="4">
                  <c:v>480336.23536475532</c:v>
                </c:pt>
                <c:pt idx="5">
                  <c:v>793847.68047630857</c:v>
                </c:pt>
                <c:pt idx="6">
                  <c:v>1019595.3480962242</c:v>
                </c:pt>
                <c:pt idx="7">
                  <c:v>1006922.5928256764</c:v>
                </c:pt>
                <c:pt idx="8">
                  <c:v>1096547.5884519834</c:v>
                </c:pt>
              </c:numCache>
            </c:numRef>
          </c:val>
        </c:ser>
        <c:ser>
          <c:idx val="3"/>
          <c:order val="3"/>
          <c:tx>
            <c:strRef>
              <c:f>'Sequence(final)'!$B$41</c:f>
              <c:strCache>
                <c:ptCount val="1"/>
                <c:pt idx="0">
                  <c:v>2hosts-multi-sequence</c:v>
                </c:pt>
              </c:strCache>
            </c:strRef>
          </c:tx>
          <c:cat>
            <c:numRef>
              <c:f>'Sequence(final)'!$B$6:$B$14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'Sequence(final)'!$F$43:$F$51</c:f>
              <c:numCache>
                <c:formatCode>General</c:formatCode>
                <c:ptCount val="9"/>
                <c:pt idx="0">
                  <c:v>14310.246136233543</c:v>
                </c:pt>
                <c:pt idx="1">
                  <c:v>28571.428571428572</c:v>
                </c:pt>
                <c:pt idx="2">
                  <c:v>55842.524082088508</c:v>
                </c:pt>
                <c:pt idx="3">
                  <c:v>110726.64359861592</c:v>
                </c:pt>
                <c:pt idx="4">
                  <c:v>194457.94846864365</c:v>
                </c:pt>
                <c:pt idx="5">
                  <c:v>320705.55221487273</c:v>
                </c:pt>
                <c:pt idx="6">
                  <c:v>494475.77841304179</c:v>
                </c:pt>
                <c:pt idx="7">
                  <c:v>467443.30423985684</c:v>
                </c:pt>
                <c:pt idx="8">
                  <c:v>476110.77014636685</c:v>
                </c:pt>
              </c:numCache>
            </c:numRef>
          </c:val>
        </c:ser>
        <c:marker val="1"/>
        <c:axId val="122796288"/>
        <c:axId val="122806272"/>
      </c:lineChart>
      <c:catAx>
        <c:axId val="122796288"/>
        <c:scaling>
          <c:orientation val="minMax"/>
        </c:scaling>
        <c:axPos val="b"/>
        <c:numFmt formatCode="General" sourceLinked="1"/>
        <c:tickLblPos val="nextTo"/>
        <c:crossAx val="122806272"/>
        <c:crosses val="autoZero"/>
        <c:auto val="1"/>
        <c:lblAlgn val="ctr"/>
        <c:lblOffset val="100"/>
      </c:catAx>
      <c:valAx>
        <c:axId val="122806272"/>
        <c:scaling>
          <c:orientation val="minMax"/>
        </c:scaling>
        <c:axPos val="l"/>
        <c:majorGridlines/>
        <c:numFmt formatCode="General" sourceLinked="1"/>
        <c:tickLblPos val="nextTo"/>
        <c:crossAx val="12279628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en-US" altLang="en-US"/>
              <a:t>response</a:t>
            </a:r>
            <a:r>
              <a:rPr lang="en-US" altLang="en-US" baseline="0"/>
              <a:t> time</a:t>
            </a:r>
            <a:r>
              <a:rPr lang="en-US" sz="1800" b="1" i="0" u="none" strike="noStrike" baseline="0"/>
              <a:t>(us)</a:t>
            </a:r>
            <a:endParaRPr lang="en-US" altLang="en-US"/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'Sequence(final)'!$B$4</c:f>
              <c:strCache>
                <c:ptCount val="1"/>
                <c:pt idx="0">
                  <c:v>localhost-single-sequence</c:v>
                </c:pt>
              </c:strCache>
            </c:strRef>
          </c:tx>
          <c:cat>
            <c:numRef>
              <c:f>'Sequence(final)'!$B$6:$B$14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'Sequence(final)'!$G$6:$G$14</c:f>
              <c:numCache>
                <c:formatCode>General</c:formatCode>
                <c:ptCount val="9"/>
                <c:pt idx="0">
                  <c:v>22.89</c:v>
                </c:pt>
                <c:pt idx="1">
                  <c:v>23.66</c:v>
                </c:pt>
                <c:pt idx="2">
                  <c:v>25.45</c:v>
                </c:pt>
                <c:pt idx="3">
                  <c:v>30.59</c:v>
                </c:pt>
                <c:pt idx="4">
                  <c:v>33.96</c:v>
                </c:pt>
                <c:pt idx="5">
                  <c:v>49.24</c:v>
                </c:pt>
                <c:pt idx="6">
                  <c:v>98.54</c:v>
                </c:pt>
                <c:pt idx="7">
                  <c:v>207.85</c:v>
                </c:pt>
                <c:pt idx="8">
                  <c:v>417.11</c:v>
                </c:pt>
              </c:numCache>
            </c:numRef>
          </c:val>
        </c:ser>
        <c:ser>
          <c:idx val="1"/>
          <c:order val="1"/>
          <c:tx>
            <c:strRef>
              <c:f>'Sequence(final)'!$B$16</c:f>
              <c:strCache>
                <c:ptCount val="1"/>
                <c:pt idx="0">
                  <c:v>2hosts-single-sequence</c:v>
                </c:pt>
              </c:strCache>
            </c:strRef>
          </c:tx>
          <c:cat>
            <c:numRef>
              <c:f>'Sequence(final)'!$B$6:$B$14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'Sequence(final)'!$G$18:$G$26</c:f>
              <c:numCache>
                <c:formatCode>General</c:formatCode>
                <c:ptCount val="9"/>
                <c:pt idx="0">
                  <c:v>69.39</c:v>
                </c:pt>
                <c:pt idx="1">
                  <c:v>70.86</c:v>
                </c:pt>
                <c:pt idx="2">
                  <c:v>73.11</c:v>
                </c:pt>
                <c:pt idx="3">
                  <c:v>74.13</c:v>
                </c:pt>
                <c:pt idx="4">
                  <c:v>84.08</c:v>
                </c:pt>
                <c:pt idx="5">
                  <c:v>106.11</c:v>
                </c:pt>
                <c:pt idx="6">
                  <c:v>141.51</c:v>
                </c:pt>
                <c:pt idx="7">
                  <c:v>254.17</c:v>
                </c:pt>
                <c:pt idx="8">
                  <c:v>546.33000000000004</c:v>
                </c:pt>
              </c:numCache>
            </c:numRef>
          </c:val>
        </c:ser>
        <c:ser>
          <c:idx val="2"/>
          <c:order val="2"/>
          <c:tx>
            <c:strRef>
              <c:f>'Sequence(final)'!$B$29</c:f>
              <c:strCache>
                <c:ptCount val="1"/>
                <c:pt idx="0">
                  <c:v>localhost-multi-sequence</c:v>
                </c:pt>
              </c:strCache>
            </c:strRef>
          </c:tx>
          <c:cat>
            <c:numRef>
              <c:f>'Sequence(final)'!$B$6:$B$14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'Sequence(final)'!$G$31:$G$39</c:f>
              <c:numCache>
                <c:formatCode>General</c:formatCode>
                <c:ptCount val="9"/>
                <c:pt idx="0">
                  <c:v>24.74</c:v>
                </c:pt>
                <c:pt idx="1">
                  <c:v>23.89</c:v>
                </c:pt>
                <c:pt idx="2">
                  <c:v>24.63</c:v>
                </c:pt>
                <c:pt idx="3">
                  <c:v>27.73</c:v>
                </c:pt>
                <c:pt idx="4">
                  <c:v>33.31</c:v>
                </c:pt>
                <c:pt idx="5">
                  <c:v>40.31</c:v>
                </c:pt>
                <c:pt idx="6">
                  <c:v>62.77</c:v>
                </c:pt>
                <c:pt idx="7">
                  <c:v>127.12</c:v>
                </c:pt>
                <c:pt idx="8">
                  <c:v>233.46</c:v>
                </c:pt>
              </c:numCache>
            </c:numRef>
          </c:val>
        </c:ser>
        <c:ser>
          <c:idx val="3"/>
          <c:order val="3"/>
          <c:tx>
            <c:strRef>
              <c:f>'Sequence(final)'!$B$41</c:f>
              <c:strCache>
                <c:ptCount val="1"/>
                <c:pt idx="0">
                  <c:v>2hosts-multi-sequence</c:v>
                </c:pt>
              </c:strCache>
            </c:strRef>
          </c:tx>
          <c:cat>
            <c:numRef>
              <c:f>'Sequence(final)'!$B$6:$B$14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</c:numCache>
            </c:numRef>
          </c:cat>
          <c:val>
            <c:numRef>
              <c:f>'Sequence(final)'!$G$43:$G$51</c:f>
              <c:numCache>
                <c:formatCode>General</c:formatCode>
                <c:ptCount val="9"/>
                <c:pt idx="0">
                  <c:v>69.88</c:v>
                </c:pt>
                <c:pt idx="1">
                  <c:v>70</c:v>
                </c:pt>
                <c:pt idx="2">
                  <c:v>71.63</c:v>
                </c:pt>
                <c:pt idx="3">
                  <c:v>72.25</c:v>
                </c:pt>
                <c:pt idx="4">
                  <c:v>82.28</c:v>
                </c:pt>
                <c:pt idx="5">
                  <c:v>99.78</c:v>
                </c:pt>
                <c:pt idx="6">
                  <c:v>129.43</c:v>
                </c:pt>
                <c:pt idx="7">
                  <c:v>273.83</c:v>
                </c:pt>
                <c:pt idx="8">
                  <c:v>537.69000000000005</c:v>
                </c:pt>
              </c:numCache>
            </c:numRef>
          </c:val>
        </c:ser>
        <c:marker val="1"/>
        <c:axId val="123746176"/>
        <c:axId val="123747712"/>
      </c:lineChart>
      <c:catAx>
        <c:axId val="123746176"/>
        <c:scaling>
          <c:orientation val="minMax"/>
        </c:scaling>
        <c:axPos val="b"/>
        <c:numFmt formatCode="General" sourceLinked="1"/>
        <c:tickLblPos val="nextTo"/>
        <c:crossAx val="123747712"/>
        <c:crosses val="autoZero"/>
        <c:auto val="1"/>
        <c:lblAlgn val="ctr"/>
        <c:lblOffset val="100"/>
      </c:catAx>
      <c:valAx>
        <c:axId val="123747712"/>
        <c:scaling>
          <c:orientation val="minMax"/>
        </c:scaling>
        <c:axPos val="l"/>
        <c:majorGridlines/>
        <c:numFmt formatCode="General" sourceLinked="1"/>
        <c:tickLblPos val="nextTo"/>
        <c:crossAx val="12374617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333375</xdr:colOff>
      <xdr:row>2</xdr:row>
      <xdr:rowOff>57150</xdr:rowOff>
    </xdr:from>
    <xdr:to>
      <xdr:col>14</xdr:col>
      <xdr:colOff>104775</xdr:colOff>
      <xdr:row>19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266700</xdr:colOff>
      <xdr:row>20</xdr:row>
      <xdr:rowOff>66675</xdr:rowOff>
    </xdr:from>
    <xdr:to>
      <xdr:col>14</xdr:col>
      <xdr:colOff>38100</xdr:colOff>
      <xdr:row>36</xdr:row>
      <xdr:rowOff>66675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647700</xdr:colOff>
      <xdr:row>2</xdr:row>
      <xdr:rowOff>38100</xdr:rowOff>
    </xdr:from>
    <xdr:to>
      <xdr:col>14</xdr:col>
      <xdr:colOff>419100</xdr:colOff>
      <xdr:row>18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19</xdr:row>
      <xdr:rowOff>142875</xdr:rowOff>
    </xdr:from>
    <xdr:to>
      <xdr:col>14</xdr:col>
      <xdr:colOff>457200</xdr:colOff>
      <xdr:row>35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647700</xdr:colOff>
      <xdr:row>2</xdr:row>
      <xdr:rowOff>38100</xdr:rowOff>
    </xdr:from>
    <xdr:to>
      <xdr:col>14</xdr:col>
      <xdr:colOff>419100</xdr:colOff>
      <xdr:row>18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19</xdr:row>
      <xdr:rowOff>142875</xdr:rowOff>
    </xdr:from>
    <xdr:to>
      <xdr:col>14</xdr:col>
      <xdr:colOff>457200</xdr:colOff>
      <xdr:row>35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7</xdr:col>
      <xdr:colOff>457200</xdr:colOff>
      <xdr:row>19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19</xdr:row>
      <xdr:rowOff>152400</xdr:rowOff>
    </xdr:from>
    <xdr:to>
      <xdr:col>7</xdr:col>
      <xdr:colOff>466725</xdr:colOff>
      <xdr:row>35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38100</xdr:colOff>
      <xdr:row>1</xdr:row>
      <xdr:rowOff>161925</xdr:rowOff>
    </xdr:from>
    <xdr:to>
      <xdr:col>14</xdr:col>
      <xdr:colOff>495300</xdr:colOff>
      <xdr:row>19</xdr:row>
      <xdr:rowOff>9525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9525</xdr:colOff>
      <xdr:row>19</xdr:row>
      <xdr:rowOff>161925</xdr:rowOff>
    </xdr:from>
    <xdr:to>
      <xdr:col>14</xdr:col>
      <xdr:colOff>466725</xdr:colOff>
      <xdr:row>35</xdr:row>
      <xdr:rowOff>161925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19050</xdr:colOff>
      <xdr:row>2</xdr:row>
      <xdr:rowOff>28574</xdr:rowOff>
    </xdr:from>
    <xdr:to>
      <xdr:col>21</xdr:col>
      <xdr:colOff>476250</xdr:colOff>
      <xdr:row>18</xdr:row>
      <xdr:rowOff>152399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19050</xdr:colOff>
      <xdr:row>19</xdr:row>
      <xdr:rowOff>161925</xdr:rowOff>
    </xdr:from>
    <xdr:to>
      <xdr:col>21</xdr:col>
      <xdr:colOff>476250</xdr:colOff>
      <xdr:row>35</xdr:row>
      <xdr:rowOff>161925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133350</xdr:colOff>
      <xdr:row>4</xdr:row>
      <xdr:rowOff>0</xdr:rowOff>
    </xdr:from>
    <xdr:to>
      <xdr:col>14</xdr:col>
      <xdr:colOff>590550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152400</xdr:colOff>
      <xdr:row>21</xdr:row>
      <xdr:rowOff>19050</xdr:rowOff>
    </xdr:from>
    <xdr:to>
      <xdr:col>14</xdr:col>
      <xdr:colOff>609600</xdr:colOff>
      <xdr:row>36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4</xdr:row>
      <xdr:rowOff>0</xdr:rowOff>
    </xdr:from>
    <xdr:to>
      <xdr:col>14</xdr:col>
      <xdr:colOff>457200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21</xdr:row>
      <xdr:rowOff>0</xdr:rowOff>
    </xdr:from>
    <xdr:to>
      <xdr:col>14</xdr:col>
      <xdr:colOff>457200</xdr:colOff>
      <xdr:row>37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133350</xdr:colOff>
      <xdr:row>4</xdr:row>
      <xdr:rowOff>0</xdr:rowOff>
    </xdr:from>
    <xdr:to>
      <xdr:col>14</xdr:col>
      <xdr:colOff>590550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152400</xdr:colOff>
      <xdr:row>21</xdr:row>
      <xdr:rowOff>19050</xdr:rowOff>
    </xdr:from>
    <xdr:to>
      <xdr:col>14</xdr:col>
      <xdr:colOff>609600</xdr:colOff>
      <xdr:row>36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4</xdr:row>
      <xdr:rowOff>0</xdr:rowOff>
    </xdr:from>
    <xdr:to>
      <xdr:col>14</xdr:col>
      <xdr:colOff>457200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21</xdr:row>
      <xdr:rowOff>0</xdr:rowOff>
    </xdr:from>
    <xdr:to>
      <xdr:col>14</xdr:col>
      <xdr:colOff>457200</xdr:colOff>
      <xdr:row>37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85725</xdr:rowOff>
    </xdr:from>
    <xdr:to>
      <xdr:col>17</xdr:col>
      <xdr:colOff>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21</xdr:row>
      <xdr:rowOff>0</xdr:rowOff>
    </xdr:from>
    <xdr:to>
      <xdr:col>17</xdr:col>
      <xdr:colOff>0</xdr:colOff>
      <xdr:row>38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G24"/>
  <sheetViews>
    <sheetView workbookViewId="0">
      <selection activeCell="B25" sqref="B25:G25"/>
    </sheetView>
  </sheetViews>
  <sheetFormatPr defaultRowHeight="13.5"/>
  <cols>
    <col min="3" max="4" width="22.875" customWidth="1"/>
    <col min="5" max="5" width="11.875" customWidth="1"/>
    <col min="6" max="6" width="18.375" customWidth="1"/>
    <col min="7" max="7" width="23.75" customWidth="1"/>
  </cols>
  <sheetData>
    <row r="2" spans="2:7">
      <c r="B2" t="s">
        <v>2</v>
      </c>
    </row>
    <row r="3" spans="2:7">
      <c r="B3" s="1" t="s">
        <v>6</v>
      </c>
      <c r="C3" s="1" t="s">
        <v>4</v>
      </c>
      <c r="D3" s="1" t="s">
        <v>5</v>
      </c>
      <c r="E3" s="1" t="s">
        <v>0</v>
      </c>
      <c r="F3" s="1" t="s">
        <v>1</v>
      </c>
      <c r="G3" s="1" t="s">
        <v>7</v>
      </c>
    </row>
    <row r="4" spans="2:7">
      <c r="B4">
        <v>1</v>
      </c>
      <c r="C4">
        <v>100000</v>
      </c>
      <c r="D4">
        <f>B4*C4</f>
        <v>100000</v>
      </c>
      <c r="E4">
        <v>1215</v>
      </c>
      <c r="F4">
        <f>D4/E4*1000</f>
        <v>82304.526748971199</v>
      </c>
      <c r="G4">
        <f>E4*1000/100000</f>
        <v>12.15</v>
      </c>
    </row>
    <row r="5" spans="2:7">
      <c r="B5">
        <v>2</v>
      </c>
      <c r="C5">
        <v>100000</v>
      </c>
      <c r="D5">
        <f t="shared" ref="D5:D12" si="0">B5*C5</f>
        <v>200000</v>
      </c>
      <c r="E5">
        <v>1876</v>
      </c>
      <c r="F5">
        <f t="shared" ref="F5:F12" si="1">D5/E5*1000</f>
        <v>106609.80810234541</v>
      </c>
      <c r="G5">
        <f t="shared" ref="G5:G12" si="2">E5*1000/100000</f>
        <v>18.760000000000002</v>
      </c>
    </row>
    <row r="6" spans="2:7">
      <c r="B6">
        <v>4</v>
      </c>
      <c r="C6">
        <v>100000</v>
      </c>
      <c r="D6">
        <f t="shared" si="0"/>
        <v>400000</v>
      </c>
      <c r="E6">
        <v>2681</v>
      </c>
      <c r="F6">
        <f t="shared" si="1"/>
        <v>149198.06042521447</v>
      </c>
      <c r="G6">
        <f t="shared" si="2"/>
        <v>26.81</v>
      </c>
    </row>
    <row r="7" spans="2:7">
      <c r="B7">
        <v>8</v>
      </c>
      <c r="C7">
        <v>100000</v>
      </c>
      <c r="D7">
        <f t="shared" si="0"/>
        <v>800000</v>
      </c>
      <c r="E7">
        <v>5101</v>
      </c>
      <c r="F7">
        <f t="shared" si="1"/>
        <v>156831.99372672025</v>
      </c>
      <c r="G7">
        <f t="shared" si="2"/>
        <v>51.01</v>
      </c>
    </row>
    <row r="8" spans="2:7">
      <c r="B8">
        <v>16</v>
      </c>
      <c r="C8">
        <v>100000</v>
      </c>
      <c r="D8">
        <f t="shared" si="0"/>
        <v>1600000</v>
      </c>
      <c r="E8">
        <v>10140</v>
      </c>
      <c r="F8">
        <f t="shared" si="1"/>
        <v>157790.92702169626</v>
      </c>
      <c r="G8">
        <f t="shared" si="2"/>
        <v>101.4</v>
      </c>
    </row>
    <row r="9" spans="2:7">
      <c r="B9">
        <v>32</v>
      </c>
      <c r="C9">
        <v>100000</v>
      </c>
      <c r="D9">
        <f t="shared" si="0"/>
        <v>3200000</v>
      </c>
      <c r="E9">
        <v>19264</v>
      </c>
      <c r="F9">
        <f t="shared" si="1"/>
        <v>166112.95681063124</v>
      </c>
      <c r="G9">
        <f t="shared" si="2"/>
        <v>192.64</v>
      </c>
    </row>
    <row r="10" spans="2:7">
      <c r="B10">
        <v>64</v>
      </c>
      <c r="C10">
        <v>100000</v>
      </c>
      <c r="D10">
        <f t="shared" si="0"/>
        <v>6400000</v>
      </c>
      <c r="E10">
        <v>37446</v>
      </c>
      <c r="F10">
        <f t="shared" si="1"/>
        <v>170912.7810714095</v>
      </c>
      <c r="G10">
        <f t="shared" si="2"/>
        <v>374.46</v>
      </c>
    </row>
    <row r="11" spans="2:7">
      <c r="B11">
        <v>128</v>
      </c>
      <c r="C11">
        <v>100000</v>
      </c>
      <c r="D11">
        <f t="shared" si="0"/>
        <v>12800000</v>
      </c>
      <c r="E11">
        <v>79724</v>
      </c>
      <c r="F11">
        <f t="shared" si="1"/>
        <v>160553.91099292558</v>
      </c>
      <c r="G11">
        <f t="shared" si="2"/>
        <v>797.24</v>
      </c>
    </row>
    <row r="12" spans="2:7">
      <c r="B12">
        <v>256</v>
      </c>
      <c r="C12">
        <v>100000</v>
      </c>
      <c r="D12">
        <f t="shared" si="0"/>
        <v>25600000</v>
      </c>
      <c r="E12">
        <v>157283</v>
      </c>
      <c r="F12">
        <f t="shared" si="1"/>
        <v>162763.93507244901</v>
      </c>
      <c r="G12">
        <f t="shared" si="2"/>
        <v>1572.83</v>
      </c>
    </row>
    <row r="14" spans="2:7">
      <c r="B14" t="s">
        <v>3</v>
      </c>
    </row>
    <row r="15" spans="2:7">
      <c r="B15" s="1" t="s">
        <v>6</v>
      </c>
      <c r="C15" s="1" t="s">
        <v>4</v>
      </c>
      <c r="D15" s="1" t="s">
        <v>5</v>
      </c>
      <c r="E15" s="1" t="s">
        <v>0</v>
      </c>
      <c r="F15" s="1" t="s">
        <v>1</v>
      </c>
      <c r="G15" s="1" t="s">
        <v>7</v>
      </c>
    </row>
    <row r="16" spans="2:7">
      <c r="B16">
        <v>1</v>
      </c>
      <c r="C16">
        <v>100000</v>
      </c>
      <c r="D16">
        <f>B16*C16</f>
        <v>100000</v>
      </c>
      <c r="E16">
        <v>4223</v>
      </c>
      <c r="F16">
        <f>D16/E16*1000</f>
        <v>23679.848448969929</v>
      </c>
      <c r="G16">
        <f>E16*1000/100000</f>
        <v>42.23</v>
      </c>
    </row>
    <row r="17" spans="2:7">
      <c r="B17">
        <v>2</v>
      </c>
      <c r="C17">
        <v>100000</v>
      </c>
      <c r="D17">
        <f t="shared" ref="D17:D24" si="3">B17*C17</f>
        <v>200000</v>
      </c>
      <c r="E17">
        <v>4752</v>
      </c>
      <c r="F17">
        <f t="shared" ref="F17:F24" si="4">D17/E17*1000</f>
        <v>42087.54208754209</v>
      </c>
      <c r="G17">
        <f t="shared" ref="G17:G24" si="5">E17*1000/100000</f>
        <v>47.52</v>
      </c>
    </row>
    <row r="18" spans="2:7">
      <c r="B18">
        <v>4</v>
      </c>
      <c r="C18">
        <v>100000</v>
      </c>
      <c r="D18">
        <f t="shared" si="3"/>
        <v>400000</v>
      </c>
      <c r="E18">
        <v>4665</v>
      </c>
      <c r="F18">
        <f t="shared" si="4"/>
        <v>85744.908896034307</v>
      </c>
      <c r="G18">
        <f t="shared" si="5"/>
        <v>46.65</v>
      </c>
    </row>
    <row r="19" spans="2:7">
      <c r="B19">
        <v>8</v>
      </c>
      <c r="C19">
        <v>100000</v>
      </c>
      <c r="D19">
        <f t="shared" si="3"/>
        <v>800000</v>
      </c>
      <c r="E19">
        <v>5149</v>
      </c>
      <c r="F19">
        <f t="shared" si="4"/>
        <v>155369.97475237912</v>
      </c>
      <c r="G19">
        <f t="shared" si="5"/>
        <v>51.49</v>
      </c>
    </row>
    <row r="20" spans="2:7">
      <c r="B20">
        <v>16</v>
      </c>
      <c r="C20">
        <v>100000</v>
      </c>
      <c r="D20">
        <f t="shared" si="3"/>
        <v>1600000</v>
      </c>
      <c r="E20">
        <v>7921</v>
      </c>
      <c r="F20">
        <f t="shared" si="4"/>
        <v>201994.69763918695</v>
      </c>
      <c r="G20">
        <f t="shared" si="5"/>
        <v>79.209999999999994</v>
      </c>
    </row>
    <row r="21" spans="2:7">
      <c r="B21">
        <v>32</v>
      </c>
      <c r="C21">
        <v>100000</v>
      </c>
      <c r="D21">
        <f t="shared" si="3"/>
        <v>3200000</v>
      </c>
      <c r="E21">
        <v>16198</v>
      </c>
      <c r="F21">
        <f t="shared" si="4"/>
        <v>197555.25373502902</v>
      </c>
      <c r="G21">
        <f t="shared" si="5"/>
        <v>161.97999999999999</v>
      </c>
    </row>
    <row r="22" spans="2:7">
      <c r="B22">
        <v>64</v>
      </c>
      <c r="C22">
        <v>100000</v>
      </c>
      <c r="D22">
        <f t="shared" si="3"/>
        <v>6400000</v>
      </c>
      <c r="E22">
        <v>31410</v>
      </c>
      <c r="F22">
        <f t="shared" si="4"/>
        <v>203756.76536134988</v>
      </c>
      <c r="G22">
        <f t="shared" si="5"/>
        <v>314.10000000000002</v>
      </c>
    </row>
    <row r="23" spans="2:7">
      <c r="B23">
        <v>128</v>
      </c>
      <c r="C23">
        <v>100000</v>
      </c>
      <c r="D23">
        <f t="shared" si="3"/>
        <v>12800000</v>
      </c>
      <c r="E23">
        <v>64752</v>
      </c>
      <c r="F23">
        <f t="shared" si="4"/>
        <v>197677.29182110206</v>
      </c>
      <c r="G23">
        <f t="shared" si="5"/>
        <v>647.52</v>
      </c>
    </row>
    <row r="24" spans="2:7">
      <c r="B24">
        <v>256</v>
      </c>
      <c r="C24">
        <v>100000</v>
      </c>
      <c r="D24">
        <f t="shared" si="3"/>
        <v>25600000</v>
      </c>
      <c r="E24">
        <v>131328</v>
      </c>
      <c r="F24">
        <f t="shared" si="4"/>
        <v>194931.7738791423</v>
      </c>
      <c r="G24">
        <f t="shared" si="5"/>
        <v>1313.28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B2:G24"/>
  <sheetViews>
    <sheetView workbookViewId="0">
      <selection activeCell="E29" sqref="E29"/>
    </sheetView>
  </sheetViews>
  <sheetFormatPr defaultRowHeight="13.5"/>
  <cols>
    <col min="3" max="3" width="24" customWidth="1"/>
    <col min="4" max="4" width="19" customWidth="1"/>
    <col min="5" max="5" width="13.5" customWidth="1"/>
    <col min="6" max="6" width="17.875" customWidth="1"/>
    <col min="7" max="7" width="24.375" customWidth="1"/>
  </cols>
  <sheetData>
    <row r="2" spans="2:7">
      <c r="B2" t="s">
        <v>2</v>
      </c>
    </row>
    <row r="3" spans="2:7">
      <c r="B3" s="1" t="s">
        <v>6</v>
      </c>
      <c r="C3" s="1" t="s">
        <v>4</v>
      </c>
      <c r="D3" s="1" t="s">
        <v>5</v>
      </c>
      <c r="E3" s="1" t="s">
        <v>0</v>
      </c>
      <c r="F3" s="1" t="s">
        <v>1</v>
      </c>
      <c r="G3" s="1" t="s">
        <v>7</v>
      </c>
    </row>
    <row r="4" spans="2:7">
      <c r="B4">
        <v>1</v>
      </c>
      <c r="C4">
        <v>100000</v>
      </c>
      <c r="D4">
        <f>B4*C4</f>
        <v>100000</v>
      </c>
      <c r="E4">
        <v>1754</v>
      </c>
      <c r="F4">
        <f>D4/E4*1000</f>
        <v>57012.542759407072</v>
      </c>
      <c r="G4">
        <f>E4*1000/100000</f>
        <v>17.54</v>
      </c>
    </row>
    <row r="5" spans="2:7">
      <c r="B5">
        <v>2</v>
      </c>
      <c r="C5">
        <v>100000</v>
      </c>
      <c r="D5">
        <f t="shared" ref="D5:D12" si="0">B5*C5</f>
        <v>200000</v>
      </c>
      <c r="E5">
        <v>2376</v>
      </c>
      <c r="F5">
        <f t="shared" ref="F5:F12" si="1">D5/E5*1000</f>
        <v>84175.084175084179</v>
      </c>
      <c r="G5">
        <f t="shared" ref="G5:G12" si="2">E5*1000/100000</f>
        <v>23.76</v>
      </c>
    </row>
    <row r="6" spans="2:7">
      <c r="B6">
        <v>4</v>
      </c>
      <c r="C6">
        <v>100000</v>
      </c>
      <c r="D6">
        <f t="shared" si="0"/>
        <v>400000</v>
      </c>
      <c r="E6">
        <v>2442</v>
      </c>
      <c r="F6">
        <f t="shared" si="1"/>
        <v>163800.16380016381</v>
      </c>
      <c r="G6">
        <f t="shared" si="2"/>
        <v>24.42</v>
      </c>
    </row>
    <row r="7" spans="2:7">
      <c r="B7">
        <v>8</v>
      </c>
      <c r="C7">
        <v>100000</v>
      </c>
      <c r="D7">
        <f t="shared" si="0"/>
        <v>800000</v>
      </c>
      <c r="E7">
        <v>2774</v>
      </c>
      <c r="F7">
        <f t="shared" si="1"/>
        <v>288392.21341023792</v>
      </c>
      <c r="G7">
        <f t="shared" si="2"/>
        <v>27.74</v>
      </c>
    </row>
    <row r="8" spans="2:7">
      <c r="B8">
        <v>16</v>
      </c>
      <c r="C8">
        <v>100000</v>
      </c>
      <c r="D8">
        <f t="shared" si="0"/>
        <v>1600000</v>
      </c>
      <c r="E8">
        <v>5633</v>
      </c>
      <c r="F8">
        <f t="shared" si="1"/>
        <v>284040.47576779692</v>
      </c>
      <c r="G8">
        <f t="shared" si="2"/>
        <v>56.33</v>
      </c>
    </row>
    <row r="9" spans="2:7">
      <c r="B9">
        <v>32</v>
      </c>
      <c r="C9">
        <v>100000</v>
      </c>
      <c r="D9">
        <f t="shared" si="0"/>
        <v>3200000</v>
      </c>
      <c r="E9">
        <v>10256</v>
      </c>
      <c r="F9">
        <f t="shared" si="1"/>
        <v>312012.48049921996</v>
      </c>
      <c r="G9">
        <f t="shared" si="2"/>
        <v>102.56</v>
      </c>
    </row>
    <row r="10" spans="2:7">
      <c r="B10">
        <v>64</v>
      </c>
      <c r="C10">
        <v>100000</v>
      </c>
      <c r="D10">
        <f t="shared" si="0"/>
        <v>6400000</v>
      </c>
      <c r="E10">
        <v>18988</v>
      </c>
      <c r="F10">
        <f t="shared" si="1"/>
        <v>337054.98209395411</v>
      </c>
      <c r="G10">
        <f t="shared" si="2"/>
        <v>189.88</v>
      </c>
    </row>
    <row r="11" spans="2:7">
      <c r="B11">
        <v>128</v>
      </c>
      <c r="C11">
        <v>100000</v>
      </c>
      <c r="D11">
        <f t="shared" si="0"/>
        <v>12800000</v>
      </c>
      <c r="E11">
        <v>36841</v>
      </c>
      <c r="F11">
        <f t="shared" si="1"/>
        <v>347438.99459840939</v>
      </c>
      <c r="G11">
        <f t="shared" si="2"/>
        <v>368.41</v>
      </c>
    </row>
    <row r="12" spans="2:7">
      <c r="B12">
        <v>256</v>
      </c>
      <c r="C12">
        <v>100000</v>
      </c>
      <c r="D12">
        <f t="shared" si="0"/>
        <v>25600000</v>
      </c>
      <c r="E12">
        <v>76420</v>
      </c>
      <c r="F12">
        <f t="shared" si="1"/>
        <v>334990.84009421617</v>
      </c>
      <c r="G12">
        <f t="shared" si="2"/>
        <v>764.2</v>
      </c>
    </row>
    <row r="14" spans="2:7">
      <c r="B14" t="s">
        <v>3</v>
      </c>
    </row>
    <row r="15" spans="2:7">
      <c r="B15" s="1" t="s">
        <v>6</v>
      </c>
      <c r="C15" s="1" t="s">
        <v>4</v>
      </c>
      <c r="D15" s="1" t="s">
        <v>5</v>
      </c>
      <c r="E15" s="1" t="s">
        <v>0</v>
      </c>
      <c r="F15" s="1" t="s">
        <v>1</v>
      </c>
      <c r="G15" s="1" t="s">
        <v>7</v>
      </c>
    </row>
    <row r="16" spans="2:7">
      <c r="B16">
        <v>1</v>
      </c>
      <c r="C16">
        <v>100000</v>
      </c>
      <c r="D16">
        <f>B16*C16</f>
        <v>100000</v>
      </c>
      <c r="E16">
        <v>4931</v>
      </c>
      <c r="F16">
        <f>D16/E16*1000</f>
        <v>20279.862096937741</v>
      </c>
      <c r="G16">
        <f>E16*1000/100000</f>
        <v>49.31</v>
      </c>
    </row>
    <row r="17" spans="2:7">
      <c r="B17">
        <v>2</v>
      </c>
      <c r="C17">
        <v>100000</v>
      </c>
      <c r="D17">
        <f t="shared" ref="D17:D24" si="3">B17*C17</f>
        <v>200000</v>
      </c>
      <c r="E17">
        <v>5212</v>
      </c>
      <c r="F17">
        <f t="shared" ref="F17:F24" si="4">D17/E17*1000</f>
        <v>38372.98541826554</v>
      </c>
      <c r="G17">
        <f t="shared" ref="G17:G24" si="5">E17*1000/100000</f>
        <v>52.12</v>
      </c>
    </row>
    <row r="18" spans="2:7">
      <c r="B18">
        <v>4</v>
      </c>
      <c r="C18">
        <v>100000</v>
      </c>
      <c r="D18">
        <f t="shared" si="3"/>
        <v>400000</v>
      </c>
      <c r="E18">
        <v>5340</v>
      </c>
      <c r="F18">
        <f t="shared" si="4"/>
        <v>74906.367041198508</v>
      </c>
      <c r="G18">
        <f t="shared" si="5"/>
        <v>53.4</v>
      </c>
    </row>
    <row r="19" spans="2:7">
      <c r="B19">
        <v>8</v>
      </c>
      <c r="C19">
        <v>100000</v>
      </c>
      <c r="D19">
        <f t="shared" si="3"/>
        <v>800000</v>
      </c>
      <c r="E19">
        <v>5793</v>
      </c>
      <c r="F19">
        <f t="shared" si="4"/>
        <v>138097.70412566891</v>
      </c>
      <c r="G19">
        <f t="shared" si="5"/>
        <v>57.93</v>
      </c>
    </row>
    <row r="20" spans="2:7">
      <c r="B20">
        <v>16</v>
      </c>
      <c r="C20">
        <v>100000</v>
      </c>
      <c r="D20">
        <f t="shared" si="3"/>
        <v>1600000</v>
      </c>
      <c r="E20">
        <v>9022</v>
      </c>
      <c r="F20">
        <f t="shared" si="4"/>
        <v>177344.26956328974</v>
      </c>
      <c r="G20">
        <f t="shared" si="5"/>
        <v>90.22</v>
      </c>
    </row>
    <row r="21" spans="2:7">
      <c r="B21">
        <v>32</v>
      </c>
      <c r="C21">
        <v>100000</v>
      </c>
      <c r="D21">
        <f t="shared" si="3"/>
        <v>3200000</v>
      </c>
      <c r="E21">
        <v>17668</v>
      </c>
      <c r="F21">
        <f t="shared" si="4"/>
        <v>181118.40615802581</v>
      </c>
      <c r="G21">
        <f t="shared" si="5"/>
        <v>176.68</v>
      </c>
    </row>
    <row r="22" spans="2:7">
      <c r="B22">
        <v>64</v>
      </c>
      <c r="C22">
        <v>100000</v>
      </c>
      <c r="D22">
        <f t="shared" si="3"/>
        <v>6400000</v>
      </c>
      <c r="E22">
        <v>30152</v>
      </c>
      <c r="F22">
        <f t="shared" si="4"/>
        <v>212257.8933404086</v>
      </c>
      <c r="G22">
        <f t="shared" si="5"/>
        <v>301.52</v>
      </c>
    </row>
    <row r="23" spans="2:7">
      <c r="B23">
        <v>128</v>
      </c>
      <c r="C23">
        <v>100000</v>
      </c>
      <c r="D23">
        <f t="shared" si="3"/>
        <v>12800000</v>
      </c>
      <c r="E23">
        <v>68544</v>
      </c>
      <c r="F23">
        <f t="shared" si="4"/>
        <v>186741.36321195145</v>
      </c>
      <c r="G23">
        <f t="shared" si="5"/>
        <v>685.44</v>
      </c>
    </row>
    <row r="24" spans="2:7">
      <c r="B24">
        <v>256</v>
      </c>
      <c r="C24">
        <v>100000</v>
      </c>
      <c r="D24">
        <f t="shared" si="3"/>
        <v>25600000</v>
      </c>
      <c r="E24">
        <v>130400</v>
      </c>
      <c r="F24">
        <f t="shared" si="4"/>
        <v>196319.01840490798</v>
      </c>
      <c r="G24">
        <f t="shared" si="5"/>
        <v>1304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G24"/>
  <sheetViews>
    <sheetView workbookViewId="0">
      <selection activeCell="F7" sqref="F7"/>
    </sheetView>
  </sheetViews>
  <sheetFormatPr defaultRowHeight="13.5"/>
  <cols>
    <col min="3" max="3" width="23.25" customWidth="1"/>
    <col min="4" max="4" width="16.375" customWidth="1"/>
    <col min="5" max="5" width="13.125" customWidth="1"/>
    <col min="6" max="6" width="16" customWidth="1"/>
    <col min="7" max="7" width="23.375" customWidth="1"/>
  </cols>
  <sheetData>
    <row r="2" spans="2:7">
      <c r="B2" t="s">
        <v>2</v>
      </c>
    </row>
    <row r="3" spans="2:7">
      <c r="B3" s="1" t="s">
        <v>6</v>
      </c>
      <c r="C3" s="1" t="s">
        <v>4</v>
      </c>
      <c r="D3" s="1" t="s">
        <v>5</v>
      </c>
      <c r="E3" s="1" t="s">
        <v>0</v>
      </c>
      <c r="F3" s="1" t="s">
        <v>1</v>
      </c>
      <c r="G3" s="1" t="s">
        <v>7</v>
      </c>
    </row>
    <row r="4" spans="2:7">
      <c r="B4">
        <v>1</v>
      </c>
      <c r="C4">
        <v>100000</v>
      </c>
      <c r="D4">
        <f>B4*C4</f>
        <v>100000</v>
      </c>
      <c r="E4">
        <v>1702</v>
      </c>
      <c r="F4">
        <f>D4/E4*1000</f>
        <v>58754.406580493538</v>
      </c>
      <c r="G4">
        <f>E4*1000/100000</f>
        <v>17.02</v>
      </c>
    </row>
    <row r="5" spans="2:7">
      <c r="B5">
        <v>2</v>
      </c>
      <c r="C5">
        <v>100000</v>
      </c>
      <c r="D5">
        <f t="shared" ref="D5:D12" si="0">B5*C5</f>
        <v>200000</v>
      </c>
      <c r="E5">
        <v>2248</v>
      </c>
      <c r="F5">
        <f t="shared" ref="F5:F12" si="1">D5/E5*1000</f>
        <v>88967.971530249109</v>
      </c>
      <c r="G5">
        <f t="shared" ref="G5:G12" si="2">E5*1000/100000</f>
        <v>22.48</v>
      </c>
    </row>
    <row r="6" spans="2:7">
      <c r="B6">
        <v>4</v>
      </c>
      <c r="C6">
        <v>100000</v>
      </c>
      <c r="D6">
        <f t="shared" si="0"/>
        <v>400000</v>
      </c>
      <c r="E6">
        <v>2706</v>
      </c>
      <c r="F6">
        <f t="shared" si="1"/>
        <v>147819.66001478196</v>
      </c>
      <c r="G6">
        <f t="shared" si="2"/>
        <v>27.06</v>
      </c>
    </row>
    <row r="7" spans="2:7">
      <c r="B7">
        <v>8</v>
      </c>
      <c r="C7">
        <v>100000</v>
      </c>
      <c r="D7">
        <f t="shared" si="0"/>
        <v>800000</v>
      </c>
      <c r="E7">
        <v>4253</v>
      </c>
      <c r="F7">
        <f t="shared" si="1"/>
        <v>188102.51587114975</v>
      </c>
      <c r="G7">
        <f t="shared" si="2"/>
        <v>42.53</v>
      </c>
    </row>
    <row r="8" spans="2:7">
      <c r="B8">
        <v>16</v>
      </c>
      <c r="C8">
        <v>100000</v>
      </c>
      <c r="D8">
        <f t="shared" si="0"/>
        <v>1600000</v>
      </c>
      <c r="E8">
        <v>8042</v>
      </c>
      <c r="F8">
        <f t="shared" si="1"/>
        <v>198955.48371051977</v>
      </c>
      <c r="G8">
        <f t="shared" si="2"/>
        <v>80.42</v>
      </c>
    </row>
    <row r="9" spans="2:7">
      <c r="B9">
        <v>32</v>
      </c>
      <c r="C9">
        <v>100000</v>
      </c>
      <c r="D9">
        <f t="shared" si="0"/>
        <v>3200000</v>
      </c>
      <c r="E9">
        <v>17068</v>
      </c>
      <c r="F9">
        <f t="shared" si="1"/>
        <v>187485.35270681977</v>
      </c>
      <c r="G9">
        <f t="shared" si="2"/>
        <v>170.68</v>
      </c>
    </row>
    <row r="10" spans="2:7">
      <c r="B10">
        <v>64</v>
      </c>
      <c r="C10">
        <v>100000</v>
      </c>
      <c r="D10">
        <f t="shared" si="0"/>
        <v>6400000</v>
      </c>
      <c r="E10">
        <v>31944</v>
      </c>
      <c r="F10">
        <f t="shared" si="1"/>
        <v>200350.61357375406</v>
      </c>
      <c r="G10">
        <f t="shared" si="2"/>
        <v>319.44</v>
      </c>
    </row>
    <row r="11" spans="2:7">
      <c r="B11">
        <v>128</v>
      </c>
      <c r="C11">
        <v>100000</v>
      </c>
      <c r="D11">
        <f t="shared" si="0"/>
        <v>12800000</v>
      </c>
      <c r="E11">
        <v>68897</v>
      </c>
      <c r="F11">
        <f t="shared" si="1"/>
        <v>185784.57697722685</v>
      </c>
      <c r="G11">
        <f t="shared" si="2"/>
        <v>688.97</v>
      </c>
    </row>
    <row r="12" spans="2:7">
      <c r="B12">
        <v>256</v>
      </c>
      <c r="C12">
        <v>100000</v>
      </c>
      <c r="D12">
        <f t="shared" si="0"/>
        <v>25600000</v>
      </c>
      <c r="E12">
        <v>140428</v>
      </c>
      <c r="F12">
        <f t="shared" si="1"/>
        <v>182299.82624547809</v>
      </c>
      <c r="G12">
        <f t="shared" si="2"/>
        <v>1404.28</v>
      </c>
    </row>
    <row r="14" spans="2:7">
      <c r="B14" t="s">
        <v>3</v>
      </c>
    </row>
    <row r="15" spans="2:7">
      <c r="B15" s="1" t="s">
        <v>6</v>
      </c>
      <c r="C15" s="1" t="s">
        <v>4</v>
      </c>
      <c r="D15" s="1" t="s">
        <v>5</v>
      </c>
      <c r="E15" s="1" t="s">
        <v>0</v>
      </c>
      <c r="F15" s="1" t="s">
        <v>1</v>
      </c>
      <c r="G15" s="1" t="s">
        <v>7</v>
      </c>
    </row>
    <row r="16" spans="2:7">
      <c r="B16">
        <v>1</v>
      </c>
      <c r="C16">
        <v>100000</v>
      </c>
      <c r="D16">
        <f>B16*C16</f>
        <v>100000</v>
      </c>
      <c r="E16">
        <v>5132</v>
      </c>
      <c r="F16">
        <f>D16/E16*1000</f>
        <v>19485.580670303974</v>
      </c>
      <c r="G16">
        <f>E16*1000/100000</f>
        <v>51.32</v>
      </c>
    </row>
    <row r="17" spans="2:7">
      <c r="B17">
        <v>2</v>
      </c>
      <c r="C17">
        <v>100000</v>
      </c>
      <c r="D17">
        <f t="shared" ref="D17:D24" si="3">B17*C17</f>
        <v>200000</v>
      </c>
      <c r="E17">
        <v>5410</v>
      </c>
      <c r="F17">
        <f t="shared" ref="F17:F24" si="4">D17/E17*1000</f>
        <v>36968.576709796675</v>
      </c>
      <c r="G17">
        <f t="shared" ref="G17:G24" si="5">E17*1000/100000</f>
        <v>54.1</v>
      </c>
    </row>
    <row r="18" spans="2:7">
      <c r="B18">
        <v>4</v>
      </c>
      <c r="C18">
        <v>100000</v>
      </c>
      <c r="D18">
        <f t="shared" si="3"/>
        <v>400000</v>
      </c>
      <c r="E18">
        <v>5372</v>
      </c>
      <c r="F18">
        <f t="shared" si="4"/>
        <v>74460.163812360392</v>
      </c>
      <c r="G18">
        <f t="shared" si="5"/>
        <v>53.72</v>
      </c>
    </row>
    <row r="19" spans="2:7">
      <c r="B19">
        <v>8</v>
      </c>
      <c r="C19">
        <v>100000</v>
      </c>
      <c r="D19">
        <f t="shared" si="3"/>
        <v>800000</v>
      </c>
      <c r="E19">
        <v>6128</v>
      </c>
      <c r="F19">
        <f t="shared" si="4"/>
        <v>130548.30287206266</v>
      </c>
      <c r="G19">
        <f t="shared" si="5"/>
        <v>61.28</v>
      </c>
    </row>
    <row r="20" spans="2:7">
      <c r="B20">
        <v>16</v>
      </c>
      <c r="C20">
        <v>100000</v>
      </c>
      <c r="D20">
        <f t="shared" si="3"/>
        <v>1600000</v>
      </c>
      <c r="E20">
        <v>11055</v>
      </c>
      <c r="F20">
        <f t="shared" si="4"/>
        <v>144730.8909995477</v>
      </c>
      <c r="G20">
        <f t="shared" si="5"/>
        <v>110.55</v>
      </c>
    </row>
    <row r="21" spans="2:7">
      <c r="B21">
        <v>32</v>
      </c>
      <c r="C21">
        <v>100000</v>
      </c>
      <c r="D21">
        <f t="shared" si="3"/>
        <v>3200000</v>
      </c>
      <c r="E21">
        <v>22611</v>
      </c>
      <c r="F21">
        <f t="shared" si="4"/>
        <v>141524.03697315467</v>
      </c>
      <c r="G21">
        <f t="shared" si="5"/>
        <v>226.11</v>
      </c>
    </row>
    <row r="22" spans="2:7">
      <c r="B22">
        <v>64</v>
      </c>
      <c r="C22">
        <v>100000</v>
      </c>
      <c r="D22">
        <f t="shared" si="3"/>
        <v>6400000</v>
      </c>
      <c r="E22">
        <v>44004</v>
      </c>
      <c r="F22">
        <f t="shared" si="4"/>
        <v>145441.32351604401</v>
      </c>
      <c r="G22">
        <f t="shared" si="5"/>
        <v>440.04</v>
      </c>
    </row>
    <row r="23" spans="2:7">
      <c r="B23">
        <v>128</v>
      </c>
      <c r="C23">
        <v>100000</v>
      </c>
      <c r="D23">
        <f t="shared" si="3"/>
        <v>12800000</v>
      </c>
      <c r="E23">
        <v>88015</v>
      </c>
      <c r="F23">
        <f t="shared" si="4"/>
        <v>145429.75629154121</v>
      </c>
      <c r="G23">
        <f t="shared" si="5"/>
        <v>880.15</v>
      </c>
    </row>
    <row r="24" spans="2:7">
      <c r="B24">
        <v>256</v>
      </c>
      <c r="C24">
        <v>100000</v>
      </c>
      <c r="D24">
        <f t="shared" si="3"/>
        <v>25600000</v>
      </c>
      <c r="E24">
        <v>186097</v>
      </c>
      <c r="F24">
        <f t="shared" si="4"/>
        <v>137562.66893071894</v>
      </c>
      <c r="G24">
        <f t="shared" si="5"/>
        <v>1860.97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I39" sqref="I39"/>
    </sheetView>
  </sheetViews>
  <sheetFormatPr defaultRowHeight="13.5"/>
  <cols>
    <col min="1" max="1" width="3.75" customWidth="1"/>
  </cols>
  <sheetData/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B2:H51"/>
  <sheetViews>
    <sheetView workbookViewId="0">
      <selection activeCell="H29" sqref="H29"/>
    </sheetView>
  </sheetViews>
  <sheetFormatPr defaultRowHeight="13.5"/>
  <cols>
    <col min="2" max="2" width="13.5" customWidth="1"/>
    <col min="3" max="3" width="22.5" customWidth="1"/>
    <col min="4" max="4" width="17.625" customWidth="1"/>
    <col min="5" max="5" width="13" customWidth="1"/>
    <col min="6" max="6" width="18.625" customWidth="1"/>
    <col min="7" max="7" width="26" customWidth="1"/>
  </cols>
  <sheetData>
    <row r="2" spans="2:7">
      <c r="B2" t="s">
        <v>13</v>
      </c>
    </row>
    <row r="4" spans="2:7">
      <c r="B4" t="s">
        <v>8</v>
      </c>
    </row>
    <row r="5" spans="2:7">
      <c r="B5" s="1" t="s">
        <v>6</v>
      </c>
      <c r="C5" s="1" t="s">
        <v>4</v>
      </c>
      <c r="D5" s="1" t="s">
        <v>5</v>
      </c>
      <c r="E5" s="1" t="s">
        <v>0</v>
      </c>
      <c r="F5" s="1" t="s">
        <v>1</v>
      </c>
      <c r="G5" s="1" t="s">
        <v>7</v>
      </c>
    </row>
    <row r="6" spans="2:7">
      <c r="B6">
        <v>1</v>
      </c>
      <c r="C6">
        <v>100000</v>
      </c>
      <c r="D6">
        <f>B6*C6</f>
        <v>100000</v>
      </c>
      <c r="E6">
        <v>2411</v>
      </c>
      <c r="F6">
        <f>D6/E6*1000</f>
        <v>41476.565740356695</v>
      </c>
      <c r="G6">
        <f>E6*1000/100000</f>
        <v>24.11</v>
      </c>
    </row>
    <row r="7" spans="2:7">
      <c r="B7">
        <v>2</v>
      </c>
      <c r="C7">
        <v>100000</v>
      </c>
      <c r="D7">
        <f t="shared" ref="D7:D14" si="0">B7*C7</f>
        <v>200000</v>
      </c>
      <c r="E7">
        <v>2621</v>
      </c>
      <c r="F7">
        <f t="shared" ref="F7:F14" si="1">D7/E7*1000</f>
        <v>76306.753147653566</v>
      </c>
      <c r="G7">
        <f t="shared" ref="G7:G14" si="2">E7*1000/100000</f>
        <v>26.21</v>
      </c>
    </row>
    <row r="8" spans="2:7">
      <c r="B8">
        <v>4</v>
      </c>
      <c r="C8">
        <v>100000</v>
      </c>
      <c r="D8">
        <f t="shared" si="0"/>
        <v>400000</v>
      </c>
      <c r="E8">
        <v>3013</v>
      </c>
      <c r="F8">
        <f t="shared" si="1"/>
        <v>132758.04845668768</v>
      </c>
      <c r="G8">
        <f t="shared" si="2"/>
        <v>30.13</v>
      </c>
    </row>
    <row r="9" spans="2:7">
      <c r="B9">
        <v>8</v>
      </c>
      <c r="C9">
        <v>100000</v>
      </c>
      <c r="D9">
        <f t="shared" si="0"/>
        <v>800000</v>
      </c>
      <c r="E9">
        <v>3942</v>
      </c>
      <c r="F9">
        <f t="shared" si="1"/>
        <v>202942.66869609337</v>
      </c>
      <c r="G9">
        <f t="shared" si="2"/>
        <v>39.42</v>
      </c>
    </row>
    <row r="10" spans="2:7">
      <c r="B10">
        <v>16</v>
      </c>
      <c r="C10">
        <v>100000</v>
      </c>
      <c r="D10">
        <f t="shared" si="0"/>
        <v>1600000</v>
      </c>
      <c r="E10">
        <v>13073</v>
      </c>
      <c r="F10">
        <f t="shared" si="1"/>
        <v>122389.65807389276</v>
      </c>
      <c r="G10">
        <f t="shared" si="2"/>
        <v>130.72999999999999</v>
      </c>
    </row>
    <row r="11" spans="2:7">
      <c r="B11">
        <v>32</v>
      </c>
      <c r="C11">
        <v>100000</v>
      </c>
      <c r="D11">
        <f t="shared" si="0"/>
        <v>3200000</v>
      </c>
      <c r="E11">
        <v>29451</v>
      </c>
      <c r="F11">
        <f t="shared" si="1"/>
        <v>108655.05415775355</v>
      </c>
      <c r="G11">
        <f t="shared" si="2"/>
        <v>294.51</v>
      </c>
    </row>
    <row r="12" spans="2:7">
      <c r="B12">
        <v>64</v>
      </c>
      <c r="C12">
        <v>100000</v>
      </c>
      <c r="D12">
        <f t="shared" si="0"/>
        <v>6400000</v>
      </c>
      <c r="E12">
        <v>61509</v>
      </c>
      <c r="F12">
        <f t="shared" si="1"/>
        <v>104049.81384837991</v>
      </c>
      <c r="G12">
        <f t="shared" si="2"/>
        <v>615.09</v>
      </c>
    </row>
    <row r="13" spans="2:7">
      <c r="B13">
        <v>128</v>
      </c>
      <c r="C13">
        <v>100000</v>
      </c>
      <c r="D13">
        <f t="shared" si="0"/>
        <v>12800000</v>
      </c>
      <c r="E13">
        <v>125382</v>
      </c>
      <c r="F13">
        <f t="shared" si="1"/>
        <v>102088.01901389354</v>
      </c>
      <c r="G13">
        <f t="shared" si="2"/>
        <v>1253.82</v>
      </c>
    </row>
    <row r="14" spans="2:7">
      <c r="B14">
        <v>256</v>
      </c>
      <c r="C14">
        <v>100000</v>
      </c>
      <c r="D14">
        <f t="shared" si="0"/>
        <v>25600000</v>
      </c>
      <c r="E14">
        <v>252155</v>
      </c>
      <c r="F14">
        <f t="shared" si="1"/>
        <v>101524.85574349111</v>
      </c>
      <c r="G14">
        <f t="shared" si="2"/>
        <v>2521.5500000000002</v>
      </c>
    </row>
    <row r="16" spans="2:7">
      <c r="B16" t="s">
        <v>9</v>
      </c>
    </row>
    <row r="17" spans="2:8">
      <c r="B17" s="1" t="s">
        <v>6</v>
      </c>
      <c r="C17" s="1" t="s">
        <v>4</v>
      </c>
      <c r="D17" s="1" t="s">
        <v>5</v>
      </c>
      <c r="E17" s="1" t="s">
        <v>0</v>
      </c>
      <c r="F17" s="1" t="s">
        <v>1</v>
      </c>
      <c r="G17" s="1" t="s">
        <v>7</v>
      </c>
    </row>
    <row r="18" spans="2:8">
      <c r="B18">
        <v>1</v>
      </c>
      <c r="C18">
        <v>100000</v>
      </c>
      <c r="D18">
        <f>B18*C18</f>
        <v>100000</v>
      </c>
      <c r="E18">
        <v>7135</v>
      </c>
      <c r="F18">
        <f>D18/E18*1000</f>
        <v>14015.416958654519</v>
      </c>
      <c r="G18">
        <f>E18*1000/100000</f>
        <v>71.349999999999994</v>
      </c>
    </row>
    <row r="19" spans="2:8">
      <c r="B19">
        <v>2</v>
      </c>
      <c r="C19">
        <v>100000</v>
      </c>
      <c r="D19">
        <f t="shared" ref="D19:D26" si="3">B19*C19</f>
        <v>200000</v>
      </c>
      <c r="E19">
        <v>7422</v>
      </c>
      <c r="F19">
        <f t="shared" ref="F19:F26" si="4">D19/E19*1000</f>
        <v>26946.914578280786</v>
      </c>
      <c r="G19">
        <f t="shared" ref="G19:G26" si="5">E19*1000/100000</f>
        <v>74.22</v>
      </c>
    </row>
    <row r="20" spans="2:8">
      <c r="B20">
        <v>4</v>
      </c>
      <c r="C20">
        <v>100000</v>
      </c>
      <c r="D20">
        <f t="shared" si="3"/>
        <v>400000</v>
      </c>
      <c r="E20">
        <v>7807</v>
      </c>
      <c r="F20">
        <f t="shared" si="4"/>
        <v>51236.07019341617</v>
      </c>
      <c r="G20">
        <f t="shared" si="5"/>
        <v>78.069999999999993</v>
      </c>
    </row>
    <row r="21" spans="2:8">
      <c r="B21">
        <v>8</v>
      </c>
      <c r="C21">
        <v>100000</v>
      </c>
      <c r="D21">
        <f t="shared" si="3"/>
        <v>800000</v>
      </c>
      <c r="E21">
        <v>8657</v>
      </c>
      <c r="F21">
        <f t="shared" si="4"/>
        <v>92410.765854222016</v>
      </c>
      <c r="G21">
        <f t="shared" si="5"/>
        <v>86.57</v>
      </c>
    </row>
    <row r="22" spans="2:8">
      <c r="B22">
        <v>16</v>
      </c>
      <c r="C22">
        <v>100000</v>
      </c>
      <c r="D22">
        <f t="shared" si="3"/>
        <v>1600000</v>
      </c>
      <c r="E22">
        <v>10654</v>
      </c>
      <c r="F22">
        <f t="shared" si="4"/>
        <v>150178.3367749202</v>
      </c>
      <c r="G22">
        <f t="shared" si="5"/>
        <v>106.54</v>
      </c>
    </row>
    <row r="23" spans="2:8">
      <c r="B23">
        <v>32</v>
      </c>
      <c r="C23">
        <v>100000</v>
      </c>
      <c r="D23">
        <f t="shared" si="3"/>
        <v>3200000</v>
      </c>
      <c r="E23">
        <v>28080</v>
      </c>
      <c r="F23">
        <f t="shared" si="4"/>
        <v>113960.11396011396</v>
      </c>
      <c r="G23">
        <f t="shared" si="5"/>
        <v>280.8</v>
      </c>
    </row>
    <row r="24" spans="2:8">
      <c r="B24">
        <v>64</v>
      </c>
      <c r="C24">
        <v>100000</v>
      </c>
      <c r="D24">
        <f t="shared" si="3"/>
        <v>6400000</v>
      </c>
      <c r="E24">
        <v>56805</v>
      </c>
      <c r="F24">
        <f t="shared" si="4"/>
        <v>112666.13854414225</v>
      </c>
      <c r="G24">
        <f t="shared" si="5"/>
        <v>568.04999999999995</v>
      </c>
    </row>
    <row r="25" spans="2:8">
      <c r="B25">
        <v>128</v>
      </c>
      <c r="C25">
        <v>100000</v>
      </c>
      <c r="D25">
        <f t="shared" si="3"/>
        <v>12800000</v>
      </c>
      <c r="E25">
        <v>115447</v>
      </c>
      <c r="F25">
        <f t="shared" si="4"/>
        <v>110873.38778833578</v>
      </c>
      <c r="G25">
        <f t="shared" si="5"/>
        <v>1154.47</v>
      </c>
    </row>
    <row r="26" spans="2:8">
      <c r="B26">
        <v>256</v>
      </c>
      <c r="C26">
        <v>100000</v>
      </c>
      <c r="D26">
        <f t="shared" si="3"/>
        <v>25600000</v>
      </c>
      <c r="E26">
        <v>231763</v>
      </c>
      <c r="F26">
        <f t="shared" si="4"/>
        <v>110457.66580515441</v>
      </c>
      <c r="G26">
        <f t="shared" si="5"/>
        <v>2317.63</v>
      </c>
    </row>
    <row r="29" spans="2:8">
      <c r="B29" t="s">
        <v>10</v>
      </c>
    </row>
    <row r="30" spans="2:8">
      <c r="B30" s="1" t="s">
        <v>6</v>
      </c>
      <c r="C30" s="1" t="s">
        <v>4</v>
      </c>
      <c r="D30" s="1" t="s">
        <v>5</v>
      </c>
      <c r="E30" s="1" t="s">
        <v>0</v>
      </c>
      <c r="F30" s="1" t="s">
        <v>1</v>
      </c>
      <c r="G30" s="1" t="s">
        <v>7</v>
      </c>
      <c r="H30" s="1"/>
    </row>
    <row r="31" spans="2:8">
      <c r="B31">
        <v>1</v>
      </c>
      <c r="C31">
        <v>100000</v>
      </c>
      <c r="D31">
        <f>B31*C31</f>
        <v>100000</v>
      </c>
      <c r="E31">
        <v>2371</v>
      </c>
      <c r="F31">
        <f>D31/E31*1000</f>
        <v>42176.296921130321</v>
      </c>
      <c r="G31">
        <f>E31*1000/100000</f>
        <v>23.71</v>
      </c>
    </row>
    <row r="32" spans="2:8">
      <c r="B32">
        <v>2</v>
      </c>
      <c r="C32">
        <v>100000</v>
      </c>
      <c r="D32">
        <f t="shared" ref="D32:D39" si="6">B32*C32</f>
        <v>200000</v>
      </c>
      <c r="E32">
        <v>2598</v>
      </c>
      <c r="F32">
        <f t="shared" ref="F32:F39" si="7">D32/E32*1000</f>
        <v>76982.294072363366</v>
      </c>
      <c r="G32">
        <f t="shared" ref="G32:G39" si="8">E32*1000/100000</f>
        <v>25.98</v>
      </c>
    </row>
    <row r="33" spans="2:7">
      <c r="B33">
        <v>4</v>
      </c>
      <c r="C33">
        <v>100000</v>
      </c>
      <c r="D33">
        <f t="shared" si="6"/>
        <v>400000</v>
      </c>
      <c r="E33">
        <v>2997</v>
      </c>
      <c r="F33">
        <f t="shared" si="7"/>
        <v>133466.80013346678</v>
      </c>
      <c r="G33">
        <f t="shared" si="8"/>
        <v>29.97</v>
      </c>
    </row>
    <row r="34" spans="2:7">
      <c r="B34">
        <v>8</v>
      </c>
      <c r="C34">
        <v>100000</v>
      </c>
      <c r="D34">
        <f t="shared" si="6"/>
        <v>800000</v>
      </c>
      <c r="E34">
        <v>3336</v>
      </c>
      <c r="F34">
        <f t="shared" si="7"/>
        <v>239808.15347721821</v>
      </c>
      <c r="G34">
        <f t="shared" si="8"/>
        <v>33.36</v>
      </c>
    </row>
    <row r="35" spans="2:7">
      <c r="B35">
        <v>16</v>
      </c>
      <c r="C35">
        <v>100000</v>
      </c>
      <c r="D35">
        <f t="shared" si="6"/>
        <v>1600000</v>
      </c>
      <c r="E35">
        <v>4433</v>
      </c>
      <c r="F35">
        <f t="shared" si="7"/>
        <v>360929.3931874577</v>
      </c>
      <c r="G35">
        <f t="shared" si="8"/>
        <v>44.33</v>
      </c>
    </row>
    <row r="36" spans="2:7">
      <c r="B36">
        <v>32</v>
      </c>
      <c r="C36">
        <v>100000</v>
      </c>
      <c r="D36">
        <f t="shared" si="6"/>
        <v>3200000</v>
      </c>
      <c r="E36">
        <v>7537</v>
      </c>
      <c r="F36">
        <f t="shared" si="7"/>
        <v>424572.11091946397</v>
      </c>
      <c r="G36">
        <f t="shared" si="8"/>
        <v>75.37</v>
      </c>
    </row>
    <row r="37" spans="2:7">
      <c r="B37">
        <v>64</v>
      </c>
      <c r="C37">
        <v>100000</v>
      </c>
      <c r="D37">
        <f t="shared" si="6"/>
        <v>6400000</v>
      </c>
      <c r="E37">
        <v>17193</v>
      </c>
      <c r="F37">
        <f t="shared" si="7"/>
        <v>372244.51811783866</v>
      </c>
      <c r="G37">
        <f t="shared" si="8"/>
        <v>171.93</v>
      </c>
    </row>
    <row r="38" spans="2:7">
      <c r="B38">
        <v>128</v>
      </c>
      <c r="C38">
        <v>100000</v>
      </c>
      <c r="D38">
        <f t="shared" si="6"/>
        <v>12800000</v>
      </c>
      <c r="E38">
        <v>35913</v>
      </c>
      <c r="F38">
        <f t="shared" si="7"/>
        <v>356416.89638849441</v>
      </c>
      <c r="G38">
        <f t="shared" si="8"/>
        <v>359.13</v>
      </c>
    </row>
    <row r="39" spans="2:7">
      <c r="B39">
        <v>256</v>
      </c>
      <c r="C39">
        <v>100000</v>
      </c>
      <c r="D39">
        <f t="shared" si="6"/>
        <v>25600000</v>
      </c>
      <c r="E39">
        <v>74061</v>
      </c>
      <c r="F39">
        <f t="shared" si="7"/>
        <v>345661.00916811818</v>
      </c>
      <c r="G39">
        <f t="shared" si="8"/>
        <v>740.61</v>
      </c>
    </row>
    <row r="41" spans="2:7">
      <c r="B41" t="s">
        <v>11</v>
      </c>
    </row>
    <row r="42" spans="2:7">
      <c r="B42" s="1" t="s">
        <v>6</v>
      </c>
      <c r="C42" s="1" t="s">
        <v>4</v>
      </c>
      <c r="D42" s="1" t="s">
        <v>5</v>
      </c>
      <c r="E42" s="1" t="s">
        <v>0</v>
      </c>
      <c r="F42" s="1" t="s">
        <v>1</v>
      </c>
      <c r="G42" s="1" t="s">
        <v>7</v>
      </c>
    </row>
    <row r="43" spans="2:7">
      <c r="B43">
        <v>1</v>
      </c>
      <c r="C43">
        <v>100000</v>
      </c>
      <c r="D43">
        <f>B43*C43</f>
        <v>100000</v>
      </c>
      <c r="E43">
        <v>7279</v>
      </c>
      <c r="F43">
        <f>D43/E43*1000</f>
        <v>13738.150844896276</v>
      </c>
      <c r="G43">
        <f>E43*1000/100000</f>
        <v>72.790000000000006</v>
      </c>
    </row>
    <row r="44" spans="2:7">
      <c r="B44">
        <v>2</v>
      </c>
      <c r="C44">
        <v>100000</v>
      </c>
      <c r="D44">
        <f t="shared" ref="D44:D51" si="9">B44*C44</f>
        <v>200000</v>
      </c>
      <c r="E44">
        <v>7451</v>
      </c>
      <c r="F44">
        <f t="shared" ref="F44:F51" si="10">D44/E44*1000</f>
        <v>26842.034626224668</v>
      </c>
      <c r="G44">
        <f t="shared" ref="G44:G51" si="11">E44*1000/100000</f>
        <v>74.510000000000005</v>
      </c>
    </row>
    <row r="45" spans="2:7">
      <c r="B45">
        <v>4</v>
      </c>
      <c r="C45">
        <v>100000</v>
      </c>
      <c r="D45">
        <f t="shared" si="9"/>
        <v>400000</v>
      </c>
      <c r="E45">
        <v>7689</v>
      </c>
      <c r="F45">
        <f t="shared" si="10"/>
        <v>52022.369618936136</v>
      </c>
      <c r="G45">
        <f t="shared" si="11"/>
        <v>76.89</v>
      </c>
    </row>
    <row r="46" spans="2:7">
      <c r="B46">
        <v>8</v>
      </c>
      <c r="C46">
        <v>100000</v>
      </c>
      <c r="D46">
        <f t="shared" si="9"/>
        <v>800000</v>
      </c>
      <c r="E46">
        <v>8222</v>
      </c>
      <c r="F46">
        <f t="shared" si="10"/>
        <v>97299.927025054727</v>
      </c>
      <c r="G46">
        <f t="shared" si="11"/>
        <v>82.22</v>
      </c>
    </row>
    <row r="47" spans="2:7">
      <c r="B47">
        <v>16</v>
      </c>
      <c r="C47">
        <v>100000</v>
      </c>
      <c r="D47">
        <f t="shared" si="9"/>
        <v>1600000</v>
      </c>
      <c r="E47">
        <v>9358</v>
      </c>
      <c r="F47">
        <f t="shared" si="10"/>
        <v>170976.7044240222</v>
      </c>
      <c r="G47">
        <f t="shared" si="11"/>
        <v>93.58</v>
      </c>
    </row>
    <row r="48" spans="2:7">
      <c r="B48">
        <v>32</v>
      </c>
      <c r="C48">
        <v>100000</v>
      </c>
      <c r="D48">
        <f t="shared" si="9"/>
        <v>3200000</v>
      </c>
      <c r="E48">
        <v>11787</v>
      </c>
      <c r="F48">
        <f t="shared" si="10"/>
        <v>271485.53491134301</v>
      </c>
      <c r="G48">
        <f t="shared" si="11"/>
        <v>117.87</v>
      </c>
    </row>
    <row r="49" spans="2:7">
      <c r="B49">
        <v>64</v>
      </c>
      <c r="C49">
        <v>100000</v>
      </c>
      <c r="D49">
        <f t="shared" si="9"/>
        <v>6400000</v>
      </c>
      <c r="E49">
        <v>16271</v>
      </c>
      <c r="F49">
        <f t="shared" si="10"/>
        <v>393337.8403294204</v>
      </c>
      <c r="G49">
        <f t="shared" si="11"/>
        <v>162.71</v>
      </c>
    </row>
    <row r="50" spans="2:7">
      <c r="B50">
        <v>128</v>
      </c>
      <c r="C50">
        <v>100000</v>
      </c>
      <c r="D50">
        <f t="shared" si="9"/>
        <v>12800000</v>
      </c>
      <c r="E50">
        <v>37125</v>
      </c>
      <c r="F50">
        <f t="shared" si="10"/>
        <v>344781.1447811448</v>
      </c>
      <c r="G50">
        <f t="shared" si="11"/>
        <v>371.25</v>
      </c>
    </row>
    <row r="51" spans="2:7">
      <c r="B51">
        <v>256</v>
      </c>
      <c r="C51">
        <v>100000</v>
      </c>
      <c r="D51">
        <f t="shared" si="9"/>
        <v>25600000</v>
      </c>
      <c r="E51">
        <v>85732</v>
      </c>
      <c r="F51">
        <f t="shared" si="10"/>
        <v>298604.9549759716</v>
      </c>
      <c r="G51">
        <f t="shared" si="11"/>
        <v>857.32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B2:G51"/>
  <sheetViews>
    <sheetView workbookViewId="0">
      <selection activeCell="P27" sqref="P27"/>
    </sheetView>
  </sheetViews>
  <sheetFormatPr defaultRowHeight="13.5"/>
  <cols>
    <col min="2" max="2" width="10.875" customWidth="1"/>
    <col min="3" max="3" width="19.875" customWidth="1"/>
    <col min="4" max="4" width="19" customWidth="1"/>
    <col min="5" max="5" width="12.75" customWidth="1"/>
    <col min="6" max="6" width="18.375" customWidth="1"/>
    <col min="7" max="7" width="23.375" customWidth="1"/>
  </cols>
  <sheetData>
    <row r="2" spans="2:7">
      <c r="B2" t="s">
        <v>12</v>
      </c>
    </row>
    <row r="4" spans="2:7">
      <c r="B4" t="s">
        <v>8</v>
      </c>
    </row>
    <row r="5" spans="2:7">
      <c r="B5" s="1" t="s">
        <v>6</v>
      </c>
      <c r="C5" s="1" t="s">
        <v>4</v>
      </c>
      <c r="D5" s="1" t="s">
        <v>5</v>
      </c>
      <c r="E5" s="1" t="s">
        <v>0</v>
      </c>
      <c r="F5" s="1" t="s">
        <v>1</v>
      </c>
      <c r="G5" s="1" t="s">
        <v>7</v>
      </c>
    </row>
    <row r="6" spans="2:7">
      <c r="B6">
        <v>1</v>
      </c>
      <c r="C6">
        <v>100000</v>
      </c>
      <c r="D6">
        <f>B6*C6</f>
        <v>100000</v>
      </c>
      <c r="E6">
        <v>2716</v>
      </c>
      <c r="F6">
        <f>D6/E6*1000</f>
        <v>36818.851251840941</v>
      </c>
      <c r="G6">
        <f>E6*1000/100000</f>
        <v>27.16</v>
      </c>
    </row>
    <row r="7" spans="2:7">
      <c r="B7">
        <v>2</v>
      </c>
      <c r="C7">
        <v>100000</v>
      </c>
      <c r="D7">
        <f t="shared" ref="D7:D14" si="0">B7*C7</f>
        <v>200000</v>
      </c>
      <c r="E7">
        <v>2703</v>
      </c>
      <c r="F7">
        <f>D7/E7*1000</f>
        <v>73991.860895301521</v>
      </c>
      <c r="G7">
        <f>E7*1000/100000</f>
        <v>27.03</v>
      </c>
    </row>
    <row r="8" spans="2:7">
      <c r="B8">
        <v>4</v>
      </c>
      <c r="C8">
        <v>100000</v>
      </c>
      <c r="D8">
        <f t="shared" si="0"/>
        <v>400000</v>
      </c>
      <c r="E8">
        <v>2804</v>
      </c>
      <c r="F8">
        <f>D8/E8*1000</f>
        <v>142653.35235378033</v>
      </c>
      <c r="G8">
        <f>E8*1000/100000</f>
        <v>28.04</v>
      </c>
    </row>
    <row r="9" spans="2:7">
      <c r="B9">
        <v>8</v>
      </c>
      <c r="C9">
        <v>100000</v>
      </c>
      <c r="D9">
        <f t="shared" si="0"/>
        <v>800000</v>
      </c>
      <c r="E9">
        <v>3011</v>
      </c>
      <c r="F9">
        <f>D9/E9*1000</f>
        <v>265692.4609764198</v>
      </c>
      <c r="G9">
        <f>E9*1000/100000</f>
        <v>30.11</v>
      </c>
    </row>
    <row r="10" spans="2:7">
      <c r="B10">
        <v>16</v>
      </c>
      <c r="C10">
        <v>100000</v>
      </c>
      <c r="D10">
        <f t="shared" si="0"/>
        <v>1600000</v>
      </c>
      <c r="E10">
        <v>3739</v>
      </c>
      <c r="F10">
        <f>D10/E10*1000</f>
        <v>427921.90425247396</v>
      </c>
      <c r="G10">
        <f>E10*1000/100000</f>
        <v>37.39</v>
      </c>
    </row>
    <row r="11" spans="2:7">
      <c r="B11">
        <v>32</v>
      </c>
      <c r="C11">
        <v>100000</v>
      </c>
      <c r="D11">
        <f t="shared" si="0"/>
        <v>3200000</v>
      </c>
      <c r="E11">
        <v>4596</v>
      </c>
      <c r="F11">
        <f>D11/E11*1000</f>
        <v>696257.61531766749</v>
      </c>
      <c r="G11">
        <f>E11*1000/100000</f>
        <v>45.96</v>
      </c>
    </row>
    <row r="12" spans="2:7">
      <c r="B12">
        <v>64</v>
      </c>
      <c r="C12">
        <v>100000</v>
      </c>
      <c r="D12">
        <f t="shared" si="0"/>
        <v>6400000</v>
      </c>
      <c r="E12">
        <v>7431</v>
      </c>
      <c r="F12">
        <f>D12/E12*1000</f>
        <v>861256.89678374375</v>
      </c>
      <c r="G12">
        <f>E12*1000/100000</f>
        <v>74.31</v>
      </c>
    </row>
    <row r="13" spans="2:7">
      <c r="B13">
        <v>128</v>
      </c>
      <c r="C13">
        <v>100000</v>
      </c>
      <c r="D13">
        <f t="shared" si="0"/>
        <v>12800000</v>
      </c>
      <c r="E13">
        <v>14956</v>
      </c>
      <c r="F13">
        <f>D13/E13*1000</f>
        <v>855843.80850494793</v>
      </c>
      <c r="G13">
        <f>E13*1000/100000</f>
        <v>149.56</v>
      </c>
    </row>
    <row r="14" spans="2:7">
      <c r="B14">
        <v>256</v>
      </c>
      <c r="C14">
        <v>100000</v>
      </c>
      <c r="D14">
        <f t="shared" si="0"/>
        <v>25600000</v>
      </c>
      <c r="E14">
        <v>31747</v>
      </c>
      <c r="F14">
        <f>D14/E14*1000</f>
        <v>806375.40555013076</v>
      </c>
      <c r="G14">
        <f>E14*1000/100000</f>
        <v>317.47000000000003</v>
      </c>
    </row>
    <row r="16" spans="2:7">
      <c r="B16" t="s">
        <v>9</v>
      </c>
    </row>
    <row r="17" spans="2:7">
      <c r="B17" s="1" t="s">
        <v>6</v>
      </c>
      <c r="C17" s="1" t="s">
        <v>4</v>
      </c>
      <c r="D17" s="1" t="s">
        <v>5</v>
      </c>
      <c r="E17" s="1" t="s">
        <v>0</v>
      </c>
      <c r="F17" s="1" t="s">
        <v>1</v>
      </c>
      <c r="G17" s="1" t="s">
        <v>7</v>
      </c>
    </row>
    <row r="18" spans="2:7">
      <c r="B18">
        <v>1</v>
      </c>
      <c r="C18">
        <v>100000</v>
      </c>
      <c r="D18">
        <f>B18*C18</f>
        <v>100000</v>
      </c>
      <c r="E18">
        <v>6979</v>
      </c>
      <c r="F18">
        <f>D18/E18*1000</f>
        <v>14328.700386874911</v>
      </c>
      <c r="G18">
        <f>E18*1000/100000</f>
        <v>69.790000000000006</v>
      </c>
    </row>
    <row r="19" spans="2:7">
      <c r="B19">
        <v>2</v>
      </c>
      <c r="C19">
        <v>100000</v>
      </c>
      <c r="D19">
        <f t="shared" ref="D19:D26" si="1">B19*C19</f>
        <v>200000</v>
      </c>
      <c r="E19">
        <v>7229</v>
      </c>
      <c r="F19">
        <f t="shared" ref="F19:F26" si="2">D19/E19*1000</f>
        <v>27666.343892654586</v>
      </c>
      <c r="G19">
        <f t="shared" ref="G19:G26" si="3">E19*1000/100000</f>
        <v>72.290000000000006</v>
      </c>
    </row>
    <row r="20" spans="2:7">
      <c r="B20">
        <v>4</v>
      </c>
      <c r="C20">
        <v>100000</v>
      </c>
      <c r="D20">
        <f t="shared" si="1"/>
        <v>400000</v>
      </c>
      <c r="E20">
        <v>7148</v>
      </c>
      <c r="F20">
        <f t="shared" si="2"/>
        <v>55959.70900951315</v>
      </c>
      <c r="G20">
        <f t="shared" si="3"/>
        <v>71.48</v>
      </c>
    </row>
    <row r="21" spans="2:7">
      <c r="B21">
        <v>8</v>
      </c>
      <c r="C21">
        <v>100000</v>
      </c>
      <c r="D21">
        <f t="shared" si="1"/>
        <v>800000</v>
      </c>
      <c r="E21">
        <v>7357</v>
      </c>
      <c r="F21">
        <f t="shared" si="2"/>
        <v>108739.97553350549</v>
      </c>
      <c r="G21">
        <f t="shared" si="3"/>
        <v>73.569999999999993</v>
      </c>
    </row>
    <row r="22" spans="2:7">
      <c r="B22">
        <v>16</v>
      </c>
      <c r="C22">
        <v>100000</v>
      </c>
      <c r="D22">
        <f t="shared" si="1"/>
        <v>1600000</v>
      </c>
      <c r="E22">
        <v>8105</v>
      </c>
      <c r="F22">
        <f t="shared" si="2"/>
        <v>197409.00678593462</v>
      </c>
      <c r="G22">
        <f t="shared" si="3"/>
        <v>81.05</v>
      </c>
    </row>
    <row r="23" spans="2:7">
      <c r="B23">
        <v>32</v>
      </c>
      <c r="C23">
        <v>100000</v>
      </c>
      <c r="D23">
        <f t="shared" si="1"/>
        <v>3200000</v>
      </c>
      <c r="E23">
        <v>10324</v>
      </c>
      <c r="F23">
        <f t="shared" si="2"/>
        <v>309957.3808601317</v>
      </c>
      <c r="G23">
        <f t="shared" si="3"/>
        <v>103.24</v>
      </c>
    </row>
    <row r="24" spans="2:7">
      <c r="B24">
        <v>64</v>
      </c>
      <c r="C24">
        <v>100000</v>
      </c>
      <c r="D24">
        <f t="shared" si="1"/>
        <v>6400000</v>
      </c>
      <c r="E24">
        <v>12973</v>
      </c>
      <c r="F24">
        <f t="shared" si="2"/>
        <v>493332.30555769679</v>
      </c>
      <c r="G24">
        <f t="shared" si="3"/>
        <v>129.72999999999999</v>
      </c>
    </row>
    <row r="25" spans="2:7">
      <c r="B25">
        <v>128</v>
      </c>
      <c r="C25">
        <v>100000</v>
      </c>
      <c r="D25">
        <f t="shared" si="1"/>
        <v>12800000</v>
      </c>
      <c r="E25">
        <v>27099</v>
      </c>
      <c r="F25">
        <f t="shared" si="2"/>
        <v>472342.15284696856</v>
      </c>
      <c r="G25">
        <f t="shared" si="3"/>
        <v>270.99</v>
      </c>
    </row>
    <row r="26" spans="2:7">
      <c r="B26">
        <v>256</v>
      </c>
      <c r="C26">
        <v>100000</v>
      </c>
      <c r="D26">
        <f t="shared" si="1"/>
        <v>25600000</v>
      </c>
      <c r="E26">
        <v>53651</v>
      </c>
      <c r="F26">
        <f t="shared" si="2"/>
        <v>477157.92809080909</v>
      </c>
      <c r="G26">
        <f t="shared" si="3"/>
        <v>536.51</v>
      </c>
    </row>
    <row r="29" spans="2:7">
      <c r="B29" t="s">
        <v>10</v>
      </c>
    </row>
    <row r="30" spans="2:7">
      <c r="B30" s="1" t="s">
        <v>6</v>
      </c>
      <c r="C30" s="1" t="s">
        <v>4</v>
      </c>
      <c r="D30" s="1" t="s">
        <v>5</v>
      </c>
      <c r="E30" s="1" t="s">
        <v>0</v>
      </c>
      <c r="F30" s="1" t="s">
        <v>1</v>
      </c>
      <c r="G30" s="1" t="s">
        <v>7</v>
      </c>
    </row>
    <row r="31" spans="2:7">
      <c r="B31">
        <v>1</v>
      </c>
      <c r="C31">
        <v>100000</v>
      </c>
      <c r="D31">
        <f>B31*C31</f>
        <v>100000</v>
      </c>
      <c r="E31">
        <v>2314</v>
      </c>
      <c r="F31">
        <f>D31/E31*1000</f>
        <v>43215.211754537602</v>
      </c>
      <c r="G31">
        <f>E31*1000/100000</f>
        <v>23.14</v>
      </c>
    </row>
    <row r="32" spans="2:7">
      <c r="B32">
        <v>2</v>
      </c>
      <c r="C32">
        <v>100000</v>
      </c>
      <c r="D32">
        <f t="shared" ref="D32:D39" si="4">B32*C32</f>
        <v>200000</v>
      </c>
      <c r="E32">
        <v>2573</v>
      </c>
      <c r="F32">
        <f>D32/E32*1000</f>
        <v>77730.275942479595</v>
      </c>
      <c r="G32">
        <f>E32*1000/100000</f>
        <v>25.73</v>
      </c>
    </row>
    <row r="33" spans="2:7">
      <c r="B33">
        <v>4</v>
      </c>
      <c r="C33">
        <v>100000</v>
      </c>
      <c r="D33">
        <f t="shared" si="4"/>
        <v>400000</v>
      </c>
      <c r="E33">
        <v>2478</v>
      </c>
      <c r="F33">
        <f>D33/E33*1000</f>
        <v>161420.50040355124</v>
      </c>
      <c r="G33">
        <f>E33*1000/100000</f>
        <v>24.78</v>
      </c>
    </row>
    <row r="34" spans="2:7">
      <c r="B34">
        <v>8</v>
      </c>
      <c r="C34">
        <v>100000</v>
      </c>
      <c r="D34">
        <f t="shared" si="4"/>
        <v>800000</v>
      </c>
      <c r="E34">
        <v>2834</v>
      </c>
      <c r="F34">
        <f>D34/E34*1000</f>
        <v>282286.52081863087</v>
      </c>
      <c r="G34">
        <f>E34*1000/100000</f>
        <v>28.34</v>
      </c>
    </row>
    <row r="35" spans="2:7">
      <c r="B35">
        <v>16</v>
      </c>
      <c r="C35">
        <v>100000</v>
      </c>
      <c r="D35">
        <f t="shared" si="4"/>
        <v>1600000</v>
      </c>
      <c r="E35">
        <v>3337</v>
      </c>
      <c r="F35">
        <f>D35/E35*1000</f>
        <v>479472.58016182203</v>
      </c>
      <c r="G35">
        <f>E35*1000/100000</f>
        <v>33.369999999999997</v>
      </c>
    </row>
    <row r="36" spans="2:7">
      <c r="B36">
        <v>32</v>
      </c>
      <c r="C36">
        <v>100000</v>
      </c>
      <c r="D36">
        <f t="shared" si="4"/>
        <v>3200000</v>
      </c>
      <c r="E36">
        <v>4066</v>
      </c>
      <c r="F36">
        <f>D36/E36*1000</f>
        <v>787014.26463354658</v>
      </c>
      <c r="G36">
        <f>E36*1000/100000</f>
        <v>40.659999999999997</v>
      </c>
    </row>
    <row r="37" spans="2:7">
      <c r="B37">
        <v>64</v>
      </c>
      <c r="C37">
        <v>100000</v>
      </c>
      <c r="D37">
        <f t="shared" si="4"/>
        <v>6400000</v>
      </c>
      <c r="E37">
        <v>6609</v>
      </c>
      <c r="F37">
        <f>D37/E37*1000</f>
        <v>968376.4563474051</v>
      </c>
      <c r="G37">
        <f>E37*1000/100000</f>
        <v>66.09</v>
      </c>
    </row>
    <row r="38" spans="2:7">
      <c r="B38">
        <v>128</v>
      </c>
      <c r="C38">
        <v>100000</v>
      </c>
      <c r="D38">
        <f t="shared" si="4"/>
        <v>12800000</v>
      </c>
      <c r="E38">
        <v>13759</v>
      </c>
      <c r="F38">
        <f>D38/E38*1000</f>
        <v>930300.16716331127</v>
      </c>
      <c r="G38">
        <f>E38*1000/100000</f>
        <v>137.59</v>
      </c>
    </row>
    <row r="39" spans="2:7">
      <c r="B39">
        <v>256</v>
      </c>
      <c r="C39">
        <v>100000</v>
      </c>
      <c r="D39">
        <f t="shared" si="4"/>
        <v>25600000</v>
      </c>
      <c r="E39">
        <v>27388</v>
      </c>
      <c r="F39">
        <f>D39/E39*1000</f>
        <v>934715.93398568709</v>
      </c>
      <c r="G39">
        <f>E39*1000/100000</f>
        <v>273.88</v>
      </c>
    </row>
    <row r="41" spans="2:7">
      <c r="B41" t="s">
        <v>11</v>
      </c>
    </row>
    <row r="42" spans="2:7">
      <c r="B42" s="1" t="s">
        <v>6</v>
      </c>
      <c r="C42" s="1" t="s">
        <v>4</v>
      </c>
      <c r="D42" s="1" t="s">
        <v>5</v>
      </c>
      <c r="E42" s="1" t="s">
        <v>0</v>
      </c>
      <c r="F42" s="1" t="s">
        <v>1</v>
      </c>
      <c r="G42" s="1" t="s">
        <v>7</v>
      </c>
    </row>
    <row r="43" spans="2:7">
      <c r="B43">
        <v>1</v>
      </c>
      <c r="C43">
        <v>100000</v>
      </c>
      <c r="D43">
        <f>B43*C43</f>
        <v>100000</v>
      </c>
      <c r="E43">
        <v>7044</v>
      </c>
      <c r="F43">
        <f>D43/E43*1000</f>
        <v>14196.479273140261</v>
      </c>
      <c r="G43">
        <f>E43*1000/100000</f>
        <v>70.44</v>
      </c>
    </row>
    <row r="44" spans="2:7">
      <c r="B44">
        <v>2</v>
      </c>
      <c r="C44">
        <v>100000</v>
      </c>
      <c r="D44">
        <f t="shared" ref="D44:D51" si="5">B44*C44</f>
        <v>200000</v>
      </c>
      <c r="E44">
        <v>7144</v>
      </c>
      <c r="F44">
        <f t="shared" ref="F44:F51" si="6">D44/E44*1000</f>
        <v>27995.520716685329</v>
      </c>
      <c r="G44">
        <f t="shared" ref="G44:G51" si="7">E44*1000/100000</f>
        <v>71.44</v>
      </c>
    </row>
    <row r="45" spans="2:7">
      <c r="B45">
        <v>4</v>
      </c>
      <c r="C45">
        <v>100000</v>
      </c>
      <c r="D45">
        <f t="shared" si="5"/>
        <v>400000</v>
      </c>
      <c r="E45">
        <v>7472</v>
      </c>
      <c r="F45">
        <f t="shared" si="6"/>
        <v>53533.190578158457</v>
      </c>
      <c r="G45">
        <f t="shared" si="7"/>
        <v>74.72</v>
      </c>
    </row>
    <row r="46" spans="2:7">
      <c r="B46">
        <v>8</v>
      </c>
      <c r="C46">
        <v>100000</v>
      </c>
      <c r="D46">
        <f t="shared" si="5"/>
        <v>800000</v>
      </c>
      <c r="E46">
        <v>7565</v>
      </c>
      <c r="F46">
        <f t="shared" si="6"/>
        <v>105750.16523463317</v>
      </c>
      <c r="G46">
        <f t="shared" si="7"/>
        <v>75.650000000000006</v>
      </c>
    </row>
    <row r="47" spans="2:7">
      <c r="B47">
        <v>16</v>
      </c>
      <c r="C47">
        <v>100000</v>
      </c>
      <c r="D47">
        <f t="shared" si="5"/>
        <v>1600000</v>
      </c>
      <c r="E47">
        <v>8110</v>
      </c>
      <c r="F47">
        <f t="shared" si="6"/>
        <v>197287.29963008632</v>
      </c>
      <c r="G47">
        <f t="shared" si="7"/>
        <v>81.099999999999994</v>
      </c>
    </row>
    <row r="48" spans="2:7">
      <c r="B48">
        <v>32</v>
      </c>
      <c r="C48">
        <v>100000</v>
      </c>
      <c r="D48">
        <f t="shared" si="5"/>
        <v>3200000</v>
      </c>
      <c r="E48">
        <v>10199</v>
      </c>
      <c r="F48">
        <f t="shared" si="6"/>
        <v>313756.25061280513</v>
      </c>
      <c r="G48">
        <f t="shared" si="7"/>
        <v>101.99</v>
      </c>
    </row>
    <row r="49" spans="2:7">
      <c r="B49">
        <v>64</v>
      </c>
      <c r="C49">
        <v>100000</v>
      </c>
      <c r="D49">
        <f t="shared" si="5"/>
        <v>6400000</v>
      </c>
      <c r="E49">
        <v>13026</v>
      </c>
      <c r="F49">
        <f t="shared" si="6"/>
        <v>491325.04222324584</v>
      </c>
      <c r="G49">
        <f t="shared" si="7"/>
        <v>130.26</v>
      </c>
    </row>
    <row r="50" spans="2:7">
      <c r="B50">
        <v>128</v>
      </c>
      <c r="C50">
        <v>100000</v>
      </c>
      <c r="D50">
        <f t="shared" si="5"/>
        <v>12800000</v>
      </c>
      <c r="E50">
        <v>28272</v>
      </c>
      <c r="F50">
        <f t="shared" si="6"/>
        <v>452744.76513865305</v>
      </c>
      <c r="G50">
        <f t="shared" si="7"/>
        <v>282.72000000000003</v>
      </c>
    </row>
    <row r="51" spans="2:7">
      <c r="B51">
        <v>256</v>
      </c>
      <c r="C51">
        <v>100000</v>
      </c>
      <c r="D51">
        <f t="shared" si="5"/>
        <v>25600000</v>
      </c>
      <c r="E51">
        <v>54939</v>
      </c>
      <c r="F51">
        <f t="shared" si="6"/>
        <v>465971.35004277469</v>
      </c>
      <c r="G51">
        <f t="shared" si="7"/>
        <v>549.39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B2:H51"/>
  <sheetViews>
    <sheetView workbookViewId="0">
      <selection activeCell="F41" sqref="F41"/>
    </sheetView>
  </sheetViews>
  <sheetFormatPr defaultRowHeight="13.5"/>
  <cols>
    <col min="2" max="2" width="13.5" customWidth="1"/>
    <col min="3" max="3" width="22.5" customWidth="1"/>
    <col min="4" max="4" width="17.625" customWidth="1"/>
    <col min="5" max="5" width="13" customWidth="1"/>
    <col min="6" max="6" width="18.625" customWidth="1"/>
    <col min="7" max="7" width="26" customWidth="1"/>
  </cols>
  <sheetData>
    <row r="2" spans="2:7">
      <c r="B2" t="s">
        <v>14</v>
      </c>
    </row>
    <row r="4" spans="2:7">
      <c r="B4" t="s">
        <v>8</v>
      </c>
    </row>
    <row r="5" spans="2:7">
      <c r="B5" s="1" t="s">
        <v>6</v>
      </c>
      <c r="C5" s="1" t="s">
        <v>4</v>
      </c>
      <c r="D5" s="1" t="s">
        <v>5</v>
      </c>
      <c r="E5" s="1" t="s">
        <v>0</v>
      </c>
      <c r="F5" s="1" t="s">
        <v>1</v>
      </c>
      <c r="G5" s="1" t="s">
        <v>7</v>
      </c>
    </row>
    <row r="6" spans="2:7">
      <c r="B6">
        <v>1</v>
      </c>
      <c r="C6">
        <v>100000</v>
      </c>
      <c r="D6">
        <f>B6*C6</f>
        <v>100000</v>
      </c>
      <c r="E6">
        <v>3504</v>
      </c>
      <c r="F6">
        <f>D6/E6*1000</f>
        <v>28538.812785388127</v>
      </c>
      <c r="G6">
        <f>E6*1000/100000</f>
        <v>35.04</v>
      </c>
    </row>
    <row r="7" spans="2:7">
      <c r="B7">
        <v>2</v>
      </c>
      <c r="C7">
        <v>100000</v>
      </c>
      <c r="D7">
        <f t="shared" ref="D7:D14" si="0">B7*C7</f>
        <v>200000</v>
      </c>
      <c r="E7">
        <v>3477</v>
      </c>
      <c r="F7">
        <f t="shared" ref="F7:F14" si="1">D7/E7*1000</f>
        <v>57520.851308599369</v>
      </c>
      <c r="G7">
        <f t="shared" ref="G7:G14" si="2">E7*1000/100000</f>
        <v>34.770000000000003</v>
      </c>
    </row>
    <row r="8" spans="2:7">
      <c r="B8">
        <v>4</v>
      </c>
      <c r="C8">
        <v>100000</v>
      </c>
      <c r="D8">
        <f t="shared" si="0"/>
        <v>400000</v>
      </c>
      <c r="E8">
        <v>3922</v>
      </c>
      <c r="F8">
        <f t="shared" si="1"/>
        <v>101988.78123406424</v>
      </c>
      <c r="G8">
        <f t="shared" si="2"/>
        <v>39.22</v>
      </c>
    </row>
    <row r="9" spans="2:7">
      <c r="B9">
        <v>8</v>
      </c>
      <c r="C9">
        <v>100000</v>
      </c>
      <c r="D9">
        <f t="shared" si="0"/>
        <v>800000</v>
      </c>
      <c r="E9">
        <v>7563</v>
      </c>
      <c r="F9">
        <f t="shared" si="1"/>
        <v>105778.13037154569</v>
      </c>
      <c r="G9">
        <f t="shared" si="2"/>
        <v>75.63</v>
      </c>
    </row>
    <row r="10" spans="2:7">
      <c r="B10">
        <v>16</v>
      </c>
      <c r="C10">
        <v>100000</v>
      </c>
      <c r="D10">
        <f t="shared" si="0"/>
        <v>1600000</v>
      </c>
      <c r="E10">
        <v>14273</v>
      </c>
      <c r="F10">
        <f t="shared" si="1"/>
        <v>112099.76879422687</v>
      </c>
      <c r="G10">
        <f t="shared" si="2"/>
        <v>142.72999999999999</v>
      </c>
    </row>
    <row r="11" spans="2:7">
      <c r="B11">
        <v>32</v>
      </c>
      <c r="C11">
        <v>100000</v>
      </c>
      <c r="D11">
        <f t="shared" si="0"/>
        <v>3200000</v>
      </c>
      <c r="E11">
        <v>27479</v>
      </c>
      <c r="F11">
        <f t="shared" si="1"/>
        <v>116452.56377597438</v>
      </c>
      <c r="G11">
        <f t="shared" si="2"/>
        <v>274.79000000000002</v>
      </c>
    </row>
    <row r="12" spans="2:7">
      <c r="B12">
        <v>64</v>
      </c>
      <c r="C12">
        <v>100000</v>
      </c>
      <c r="D12">
        <f t="shared" si="0"/>
        <v>6400000</v>
      </c>
      <c r="E12">
        <v>57758</v>
      </c>
      <c r="F12">
        <f t="shared" si="1"/>
        <v>110807.16091277399</v>
      </c>
      <c r="G12">
        <f t="shared" si="2"/>
        <v>577.58000000000004</v>
      </c>
    </row>
    <row r="13" spans="2:7">
      <c r="B13">
        <v>128</v>
      </c>
      <c r="C13">
        <v>100000</v>
      </c>
      <c r="D13">
        <f t="shared" si="0"/>
        <v>12800000</v>
      </c>
      <c r="E13">
        <v>123790</v>
      </c>
      <c r="F13">
        <f t="shared" si="1"/>
        <v>103400.92091445188</v>
      </c>
      <c r="G13">
        <f t="shared" si="2"/>
        <v>1237.9000000000001</v>
      </c>
    </row>
    <row r="14" spans="2:7">
      <c r="B14">
        <v>256</v>
      </c>
      <c r="C14">
        <v>100000</v>
      </c>
      <c r="D14">
        <f t="shared" si="0"/>
        <v>25600000</v>
      </c>
      <c r="E14">
        <v>230861</v>
      </c>
      <c r="F14">
        <f t="shared" si="1"/>
        <v>110889.23638033276</v>
      </c>
      <c r="G14">
        <f t="shared" si="2"/>
        <v>2308.61</v>
      </c>
    </row>
    <row r="16" spans="2:7">
      <c r="B16" t="s">
        <v>9</v>
      </c>
    </row>
    <row r="17" spans="2:8">
      <c r="B17" s="1" t="s">
        <v>6</v>
      </c>
      <c r="C17" s="1" t="s">
        <v>4</v>
      </c>
      <c r="D17" s="1" t="s">
        <v>5</v>
      </c>
      <c r="E17" s="1" t="s">
        <v>0</v>
      </c>
      <c r="F17" s="1" t="s">
        <v>1</v>
      </c>
      <c r="G17" s="1" t="s">
        <v>7</v>
      </c>
    </row>
    <row r="18" spans="2:8">
      <c r="B18">
        <v>1</v>
      </c>
      <c r="C18">
        <v>100000</v>
      </c>
      <c r="D18">
        <f>B18*C18</f>
        <v>100000</v>
      </c>
      <c r="E18">
        <v>8574</v>
      </c>
      <c r="F18">
        <f>D18/E18*1000</f>
        <v>11663.167716351762</v>
      </c>
      <c r="G18">
        <f>E18*1000/100000</f>
        <v>85.74</v>
      </c>
    </row>
    <row r="19" spans="2:8">
      <c r="B19">
        <v>2</v>
      </c>
      <c r="C19">
        <v>100000</v>
      </c>
      <c r="D19">
        <f t="shared" ref="D19:D26" si="3">B19*C19</f>
        <v>200000</v>
      </c>
      <c r="E19">
        <v>8933</v>
      </c>
      <c r="F19">
        <f t="shared" ref="F19:F26" si="4">D19/E19*1000</f>
        <v>22388.895108026416</v>
      </c>
      <c r="G19">
        <f t="shared" ref="G19:G26" si="5">E19*1000/100000</f>
        <v>89.33</v>
      </c>
    </row>
    <row r="20" spans="2:8">
      <c r="B20">
        <v>4</v>
      </c>
      <c r="C20">
        <v>100000</v>
      </c>
      <c r="D20">
        <f t="shared" si="3"/>
        <v>400000</v>
      </c>
      <c r="E20">
        <v>9218</v>
      </c>
      <c r="F20">
        <f t="shared" si="4"/>
        <v>43393.360815795182</v>
      </c>
      <c r="G20">
        <f t="shared" si="5"/>
        <v>92.18</v>
      </c>
    </row>
    <row r="21" spans="2:8">
      <c r="B21">
        <v>8</v>
      </c>
      <c r="C21">
        <v>100000</v>
      </c>
      <c r="D21">
        <f t="shared" si="3"/>
        <v>800000</v>
      </c>
      <c r="E21">
        <v>9045</v>
      </c>
      <c r="F21">
        <f t="shared" si="4"/>
        <v>88446.655610834714</v>
      </c>
      <c r="G21">
        <f t="shared" si="5"/>
        <v>90.45</v>
      </c>
    </row>
    <row r="22" spans="2:8">
      <c r="B22">
        <v>16</v>
      </c>
      <c r="C22">
        <v>100000</v>
      </c>
      <c r="D22">
        <f t="shared" si="3"/>
        <v>1600000</v>
      </c>
      <c r="E22">
        <v>12511</v>
      </c>
      <c r="F22">
        <f t="shared" si="4"/>
        <v>127887.45903604828</v>
      </c>
      <c r="G22">
        <f t="shared" si="5"/>
        <v>125.11</v>
      </c>
    </row>
    <row r="23" spans="2:8">
      <c r="B23">
        <v>32</v>
      </c>
      <c r="C23">
        <v>100000</v>
      </c>
      <c r="D23">
        <f t="shared" si="3"/>
        <v>3200000</v>
      </c>
      <c r="E23">
        <v>23994</v>
      </c>
      <c r="F23">
        <f t="shared" si="4"/>
        <v>133366.67500208388</v>
      </c>
      <c r="G23">
        <f t="shared" si="5"/>
        <v>239.94</v>
      </c>
    </row>
    <row r="24" spans="2:8">
      <c r="B24">
        <v>64</v>
      </c>
      <c r="C24">
        <v>100000</v>
      </c>
      <c r="D24">
        <f t="shared" si="3"/>
        <v>6400000</v>
      </c>
      <c r="E24">
        <v>47249</v>
      </c>
      <c r="F24">
        <f t="shared" si="4"/>
        <v>135452.60217147451</v>
      </c>
      <c r="G24">
        <f t="shared" si="5"/>
        <v>472.49</v>
      </c>
    </row>
    <row r="25" spans="2:8">
      <c r="B25">
        <v>128</v>
      </c>
      <c r="C25">
        <v>100000</v>
      </c>
      <c r="D25">
        <f t="shared" si="3"/>
        <v>12800000</v>
      </c>
      <c r="E25">
        <v>96200</v>
      </c>
      <c r="F25">
        <f t="shared" si="4"/>
        <v>133056.13305613305</v>
      </c>
      <c r="G25">
        <f t="shared" si="5"/>
        <v>962</v>
      </c>
    </row>
    <row r="26" spans="2:8">
      <c r="B26">
        <v>256</v>
      </c>
      <c r="C26">
        <v>100000</v>
      </c>
      <c r="D26">
        <f t="shared" si="3"/>
        <v>25600000</v>
      </c>
      <c r="E26">
        <v>191504</v>
      </c>
      <c r="F26">
        <f t="shared" si="4"/>
        <v>133678.66989723453</v>
      </c>
      <c r="G26">
        <f t="shared" si="5"/>
        <v>1915.04</v>
      </c>
    </row>
    <row r="29" spans="2:8">
      <c r="B29" t="s">
        <v>10</v>
      </c>
    </row>
    <row r="30" spans="2:8">
      <c r="B30" s="1" t="s">
        <v>6</v>
      </c>
      <c r="C30" s="1" t="s">
        <v>4</v>
      </c>
      <c r="D30" s="1" t="s">
        <v>5</v>
      </c>
      <c r="E30" s="1" t="s">
        <v>0</v>
      </c>
      <c r="F30" s="1" t="s">
        <v>1</v>
      </c>
      <c r="G30" s="1" t="s">
        <v>7</v>
      </c>
      <c r="H30" s="1"/>
    </row>
    <row r="31" spans="2:8">
      <c r="B31">
        <v>1</v>
      </c>
      <c r="C31">
        <v>100000</v>
      </c>
      <c r="D31">
        <f>B31*C31</f>
        <v>100000</v>
      </c>
      <c r="E31">
        <v>2739</v>
      </c>
      <c r="F31">
        <f>D31/E31*1000</f>
        <v>36509.675063891933</v>
      </c>
      <c r="G31">
        <f>E31*1000/100000</f>
        <v>27.39</v>
      </c>
    </row>
    <row r="32" spans="2:8">
      <c r="B32">
        <v>2</v>
      </c>
      <c r="C32">
        <v>100000</v>
      </c>
      <c r="D32">
        <f t="shared" ref="D32:D39" si="6">B32*C32</f>
        <v>200000</v>
      </c>
      <c r="E32">
        <v>3533</v>
      </c>
      <c r="F32">
        <f t="shared" ref="F32:F39" si="7">D32/E32*1000</f>
        <v>56609.114067364841</v>
      </c>
      <c r="G32">
        <f t="shared" ref="G32:G39" si="8">E32*1000/100000</f>
        <v>35.33</v>
      </c>
    </row>
    <row r="33" spans="2:7">
      <c r="B33">
        <v>4</v>
      </c>
      <c r="C33">
        <v>100000</v>
      </c>
      <c r="D33">
        <f t="shared" si="6"/>
        <v>400000</v>
      </c>
      <c r="E33">
        <v>3764</v>
      </c>
      <c r="F33">
        <f t="shared" si="7"/>
        <v>106269.92561105208</v>
      </c>
      <c r="G33">
        <f t="shared" si="8"/>
        <v>37.64</v>
      </c>
    </row>
    <row r="34" spans="2:7">
      <c r="B34">
        <v>8</v>
      </c>
      <c r="C34">
        <v>100000</v>
      </c>
      <c r="D34">
        <f t="shared" si="6"/>
        <v>800000</v>
      </c>
      <c r="E34">
        <v>7240</v>
      </c>
      <c r="F34">
        <f t="shared" si="7"/>
        <v>110497.23756906077</v>
      </c>
      <c r="G34">
        <f t="shared" si="8"/>
        <v>72.400000000000006</v>
      </c>
    </row>
    <row r="35" spans="2:7">
      <c r="B35">
        <v>16</v>
      </c>
      <c r="C35">
        <v>100000</v>
      </c>
      <c r="D35">
        <f t="shared" si="6"/>
        <v>1600000</v>
      </c>
      <c r="E35">
        <v>13479</v>
      </c>
      <c r="F35">
        <f t="shared" si="7"/>
        <v>118703.16789079308</v>
      </c>
      <c r="G35">
        <f t="shared" si="8"/>
        <v>134.79</v>
      </c>
    </row>
    <row r="36" spans="2:7">
      <c r="B36">
        <v>32</v>
      </c>
      <c r="C36">
        <v>100000</v>
      </c>
      <c r="D36">
        <f t="shared" si="6"/>
        <v>3200000</v>
      </c>
      <c r="E36">
        <v>28907</v>
      </c>
      <c r="F36">
        <f t="shared" si="7"/>
        <v>110699.83049088456</v>
      </c>
      <c r="G36">
        <f t="shared" si="8"/>
        <v>289.07</v>
      </c>
    </row>
    <row r="37" spans="2:7">
      <c r="B37">
        <v>64</v>
      </c>
      <c r="C37">
        <v>100000</v>
      </c>
      <c r="D37">
        <f t="shared" si="6"/>
        <v>6400000</v>
      </c>
      <c r="E37">
        <v>53419</v>
      </c>
      <c r="F37">
        <f t="shared" si="7"/>
        <v>119807.55910818248</v>
      </c>
      <c r="G37">
        <f t="shared" si="8"/>
        <v>534.19000000000005</v>
      </c>
    </row>
    <row r="38" spans="2:7">
      <c r="B38">
        <v>128</v>
      </c>
      <c r="C38">
        <v>100000</v>
      </c>
      <c r="D38">
        <f t="shared" si="6"/>
        <v>12800000</v>
      </c>
      <c r="E38">
        <v>118330</v>
      </c>
      <c r="F38">
        <f t="shared" si="7"/>
        <v>108172.06118482212</v>
      </c>
      <c r="G38">
        <f t="shared" si="8"/>
        <v>1183.3</v>
      </c>
    </row>
    <row r="39" spans="2:7">
      <c r="B39">
        <v>256</v>
      </c>
      <c r="C39">
        <v>100000</v>
      </c>
      <c r="D39">
        <f t="shared" si="6"/>
        <v>25600000</v>
      </c>
      <c r="E39">
        <v>231046</v>
      </c>
      <c r="F39">
        <f t="shared" si="7"/>
        <v>110800.44666430062</v>
      </c>
      <c r="G39">
        <f t="shared" si="8"/>
        <v>2310.46</v>
      </c>
    </row>
    <row r="41" spans="2:7">
      <c r="B41" t="s">
        <v>11</v>
      </c>
    </row>
    <row r="42" spans="2:7">
      <c r="B42" s="1" t="s">
        <v>6</v>
      </c>
      <c r="C42" s="1" t="s">
        <v>4</v>
      </c>
      <c r="D42" s="1" t="s">
        <v>5</v>
      </c>
      <c r="E42" s="1" t="s">
        <v>0</v>
      </c>
      <c r="F42" s="1" t="s">
        <v>1</v>
      </c>
      <c r="G42" s="1" t="s">
        <v>7</v>
      </c>
    </row>
    <row r="43" spans="2:7">
      <c r="B43">
        <v>1</v>
      </c>
      <c r="C43">
        <v>100000</v>
      </c>
      <c r="D43">
        <f>B43*C43</f>
        <v>100000</v>
      </c>
      <c r="E43">
        <v>8007</v>
      </c>
      <c r="F43">
        <f>D43/E43*1000</f>
        <v>12489.072061945799</v>
      </c>
      <c r="G43">
        <f>E43*1000/100000</f>
        <v>80.069999999999993</v>
      </c>
    </row>
    <row r="44" spans="2:7">
      <c r="B44">
        <v>2</v>
      </c>
      <c r="C44">
        <v>100000</v>
      </c>
      <c r="D44">
        <f t="shared" ref="D44:D51" si="9">B44*C44</f>
        <v>200000</v>
      </c>
      <c r="E44">
        <v>8866</v>
      </c>
      <c r="F44">
        <f t="shared" ref="F44:F51" si="10">D44/E44*1000</f>
        <v>22558.087074216106</v>
      </c>
      <c r="G44">
        <f t="shared" ref="G44:G51" si="11">E44*1000/100000</f>
        <v>88.66</v>
      </c>
    </row>
    <row r="45" spans="2:7">
      <c r="B45">
        <v>4</v>
      </c>
      <c r="C45">
        <v>100000</v>
      </c>
      <c r="D45">
        <f t="shared" si="9"/>
        <v>400000</v>
      </c>
      <c r="E45">
        <v>9224</v>
      </c>
      <c r="F45">
        <f t="shared" si="10"/>
        <v>43365.134431916733</v>
      </c>
      <c r="G45">
        <f t="shared" si="11"/>
        <v>92.24</v>
      </c>
    </row>
    <row r="46" spans="2:7">
      <c r="B46">
        <v>8</v>
      </c>
      <c r="C46">
        <v>100000</v>
      </c>
      <c r="D46">
        <f t="shared" si="9"/>
        <v>800000</v>
      </c>
      <c r="E46">
        <v>9313</v>
      </c>
      <c r="F46">
        <f t="shared" si="10"/>
        <v>85901.428111242349</v>
      </c>
      <c r="G46">
        <f t="shared" si="11"/>
        <v>93.13</v>
      </c>
    </row>
    <row r="47" spans="2:7">
      <c r="B47">
        <v>16</v>
      </c>
      <c r="C47">
        <v>100000</v>
      </c>
      <c r="D47">
        <f t="shared" si="9"/>
        <v>1600000</v>
      </c>
      <c r="E47">
        <v>11815</v>
      </c>
      <c r="F47">
        <f t="shared" si="10"/>
        <v>135421.07490478206</v>
      </c>
      <c r="G47">
        <f t="shared" si="11"/>
        <v>118.15</v>
      </c>
    </row>
    <row r="48" spans="2:7">
      <c r="B48">
        <v>32</v>
      </c>
      <c r="C48">
        <v>100000</v>
      </c>
      <c r="D48">
        <f t="shared" si="9"/>
        <v>3200000</v>
      </c>
      <c r="E48">
        <v>22464</v>
      </c>
      <c r="F48">
        <f t="shared" si="10"/>
        <v>142450.14245014245</v>
      </c>
      <c r="G48">
        <f t="shared" si="11"/>
        <v>224.64</v>
      </c>
    </row>
    <row r="49" spans="2:7">
      <c r="B49">
        <v>64</v>
      </c>
      <c r="C49">
        <v>100000</v>
      </c>
      <c r="D49">
        <f t="shared" si="9"/>
        <v>6400000</v>
      </c>
      <c r="E49">
        <v>44467</v>
      </c>
      <c r="F49">
        <f t="shared" si="10"/>
        <v>143926.95706928734</v>
      </c>
      <c r="G49">
        <f t="shared" si="11"/>
        <v>444.67</v>
      </c>
    </row>
    <row r="50" spans="2:7">
      <c r="B50">
        <v>128</v>
      </c>
      <c r="C50">
        <v>100000</v>
      </c>
      <c r="D50">
        <f t="shared" si="9"/>
        <v>12800000</v>
      </c>
      <c r="E50">
        <v>98300</v>
      </c>
      <c r="F50">
        <f t="shared" si="10"/>
        <v>130213.63173957275</v>
      </c>
      <c r="G50">
        <f t="shared" si="11"/>
        <v>983</v>
      </c>
    </row>
    <row r="51" spans="2:7">
      <c r="B51">
        <v>256</v>
      </c>
      <c r="C51">
        <v>100000</v>
      </c>
      <c r="D51">
        <f t="shared" si="9"/>
        <v>25600000</v>
      </c>
      <c r="E51">
        <v>194362</v>
      </c>
      <c r="F51">
        <f t="shared" si="10"/>
        <v>131712.98916454861</v>
      </c>
      <c r="G51">
        <f t="shared" si="11"/>
        <v>1943.62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B2:G51"/>
  <sheetViews>
    <sheetView workbookViewId="0">
      <selection activeCell="H20" sqref="H20"/>
    </sheetView>
  </sheetViews>
  <sheetFormatPr defaultRowHeight="13.5"/>
  <cols>
    <col min="2" max="2" width="10.875" customWidth="1"/>
    <col min="3" max="3" width="19.875" customWidth="1"/>
    <col min="4" max="4" width="19" customWidth="1"/>
    <col min="5" max="5" width="12.75" customWidth="1"/>
    <col min="6" max="6" width="18.375" customWidth="1"/>
    <col min="7" max="7" width="23.375" customWidth="1"/>
  </cols>
  <sheetData>
    <row r="2" spans="2:7">
      <c r="B2" t="s">
        <v>14</v>
      </c>
    </row>
    <row r="4" spans="2:7">
      <c r="B4" t="s">
        <v>8</v>
      </c>
    </row>
    <row r="5" spans="2:7">
      <c r="B5" s="1" t="s">
        <v>6</v>
      </c>
      <c r="C5" s="1" t="s">
        <v>4</v>
      </c>
      <c r="D5" s="1" t="s">
        <v>5</v>
      </c>
      <c r="E5" s="1" t="s">
        <v>0</v>
      </c>
      <c r="F5" s="1" t="s">
        <v>1</v>
      </c>
      <c r="G5" s="1" t="s">
        <v>7</v>
      </c>
    </row>
    <row r="6" spans="2:7">
      <c r="B6">
        <v>1</v>
      </c>
      <c r="C6">
        <v>100000</v>
      </c>
      <c r="D6">
        <f>B6*C6</f>
        <v>100000</v>
      </c>
      <c r="E6">
        <v>3915</v>
      </c>
      <c r="F6">
        <f>D6/E6*1000</f>
        <v>25542.784163473818</v>
      </c>
      <c r="G6">
        <f>E6*1000/100000</f>
        <v>39.15</v>
      </c>
    </row>
    <row r="7" spans="2:7">
      <c r="B7">
        <v>2</v>
      </c>
      <c r="C7">
        <v>100000</v>
      </c>
      <c r="D7">
        <f t="shared" ref="D7:D14" si="0">B7*C7</f>
        <v>200000</v>
      </c>
      <c r="E7">
        <v>4166</v>
      </c>
      <c r="F7">
        <f>D7/E7*1000</f>
        <v>48007.68122899664</v>
      </c>
      <c r="G7">
        <f>E7*1000/100000</f>
        <v>41.66</v>
      </c>
    </row>
    <row r="8" spans="2:7">
      <c r="B8">
        <v>4</v>
      </c>
      <c r="C8">
        <v>100000</v>
      </c>
      <c r="D8">
        <f t="shared" si="0"/>
        <v>400000</v>
      </c>
      <c r="E8">
        <v>5804</v>
      </c>
      <c r="F8">
        <f>D8/E8*1000</f>
        <v>68917.987594762235</v>
      </c>
      <c r="G8">
        <f>E8*1000/100000</f>
        <v>58.04</v>
      </c>
    </row>
    <row r="9" spans="2:7">
      <c r="B9">
        <v>8</v>
      </c>
      <c r="C9">
        <v>100000</v>
      </c>
      <c r="D9">
        <f t="shared" si="0"/>
        <v>800000</v>
      </c>
      <c r="E9">
        <v>11299</v>
      </c>
      <c r="F9">
        <f>D9/E9*1000</f>
        <v>70802.725904947336</v>
      </c>
      <c r="G9">
        <f>E9*1000/100000</f>
        <v>112.99</v>
      </c>
    </row>
    <row r="10" spans="2:7">
      <c r="B10">
        <v>16</v>
      </c>
      <c r="C10">
        <v>100000</v>
      </c>
      <c r="D10">
        <f t="shared" si="0"/>
        <v>1600000</v>
      </c>
      <c r="E10">
        <v>21684</v>
      </c>
      <c r="F10">
        <f>D10/E10*1000</f>
        <v>73787.124146836373</v>
      </c>
      <c r="G10">
        <f>E10*1000/100000</f>
        <v>216.84</v>
      </c>
    </row>
    <row r="11" spans="2:7">
      <c r="B11">
        <v>32</v>
      </c>
      <c r="C11">
        <v>100000</v>
      </c>
      <c r="D11">
        <f t="shared" si="0"/>
        <v>3200000</v>
      </c>
      <c r="E11">
        <v>43731</v>
      </c>
      <c r="F11">
        <f>D11/E11*1000</f>
        <v>73174.635841851312</v>
      </c>
      <c r="G11">
        <f>E11*1000/100000</f>
        <v>437.31</v>
      </c>
    </row>
    <row r="12" spans="2:7">
      <c r="B12">
        <v>64</v>
      </c>
      <c r="C12">
        <v>100000</v>
      </c>
      <c r="D12">
        <f t="shared" si="0"/>
        <v>6400000</v>
      </c>
      <c r="E12">
        <v>87693</v>
      </c>
      <c r="F12">
        <f>D12/E12*1000</f>
        <v>72981.879967614295</v>
      </c>
      <c r="G12">
        <f>E12*1000/100000</f>
        <v>876.93</v>
      </c>
    </row>
    <row r="13" spans="2:7">
      <c r="B13">
        <v>128</v>
      </c>
      <c r="C13">
        <v>100000</v>
      </c>
      <c r="D13">
        <f t="shared" si="0"/>
        <v>12800000</v>
      </c>
      <c r="E13">
        <v>180945</v>
      </c>
      <c r="F13">
        <f>D13/E13*1000</f>
        <v>70739.727541518136</v>
      </c>
      <c r="G13">
        <f>E13*1000/100000</f>
        <v>1809.45</v>
      </c>
    </row>
    <row r="14" spans="2:7">
      <c r="B14">
        <v>256</v>
      </c>
      <c r="C14">
        <v>100000</v>
      </c>
      <c r="D14">
        <f t="shared" si="0"/>
        <v>25600000</v>
      </c>
      <c r="E14">
        <v>365665</v>
      </c>
      <c r="F14">
        <f>D14/E14*1000</f>
        <v>70009.434865245508</v>
      </c>
      <c r="G14">
        <f>E14*1000/100000</f>
        <v>3656.65</v>
      </c>
    </row>
    <row r="16" spans="2:7">
      <c r="B16" t="s">
        <v>9</v>
      </c>
    </row>
    <row r="17" spans="2:7">
      <c r="B17" s="1" t="s">
        <v>6</v>
      </c>
      <c r="C17" s="1" t="s">
        <v>4</v>
      </c>
      <c r="D17" s="1" t="s">
        <v>5</v>
      </c>
      <c r="E17" s="1" t="s">
        <v>0</v>
      </c>
      <c r="F17" s="1" t="s">
        <v>1</v>
      </c>
      <c r="G17" s="1" t="s">
        <v>7</v>
      </c>
    </row>
    <row r="18" spans="2:7">
      <c r="B18">
        <v>1</v>
      </c>
      <c r="C18">
        <v>100000</v>
      </c>
      <c r="D18">
        <f>B18*C18</f>
        <v>100000</v>
      </c>
      <c r="E18">
        <v>7662</v>
      </c>
      <c r="F18">
        <f>D18/E18*1000</f>
        <v>13051.422605063952</v>
      </c>
      <c r="G18">
        <f>E18*1000/100000</f>
        <v>76.62</v>
      </c>
    </row>
    <row r="19" spans="2:7">
      <c r="B19">
        <v>2</v>
      </c>
      <c r="C19">
        <v>100000</v>
      </c>
      <c r="D19">
        <f t="shared" ref="D19:D26" si="1">B19*C19</f>
        <v>200000</v>
      </c>
      <c r="E19">
        <v>9167</v>
      </c>
      <c r="F19">
        <f t="shared" ref="F19:F26" si="2">D19/E19*1000</f>
        <v>21817.388458601505</v>
      </c>
      <c r="G19">
        <f t="shared" ref="G19:G26" si="3">E19*1000/100000</f>
        <v>91.67</v>
      </c>
    </row>
    <row r="20" spans="2:7">
      <c r="B20">
        <v>4</v>
      </c>
      <c r="C20">
        <v>100000</v>
      </c>
      <c r="D20">
        <f t="shared" si="1"/>
        <v>400000</v>
      </c>
      <c r="E20">
        <v>9847</v>
      </c>
      <c r="F20">
        <f t="shared" si="2"/>
        <v>40621.509089062652</v>
      </c>
      <c r="G20">
        <f t="shared" si="3"/>
        <v>98.47</v>
      </c>
    </row>
    <row r="21" spans="2:7">
      <c r="B21">
        <v>8</v>
      </c>
      <c r="C21">
        <v>100000</v>
      </c>
      <c r="D21">
        <f t="shared" si="1"/>
        <v>800000</v>
      </c>
      <c r="E21">
        <v>12101</v>
      </c>
      <c r="F21">
        <f t="shared" si="2"/>
        <v>66110.238823237756</v>
      </c>
      <c r="G21">
        <f t="shared" si="3"/>
        <v>121.01</v>
      </c>
    </row>
    <row r="22" spans="2:7">
      <c r="B22">
        <v>16</v>
      </c>
      <c r="C22">
        <v>100000</v>
      </c>
      <c r="D22">
        <f t="shared" si="1"/>
        <v>1600000</v>
      </c>
      <c r="E22">
        <v>18747</v>
      </c>
      <c r="F22">
        <f t="shared" si="2"/>
        <v>85346.988851549584</v>
      </c>
      <c r="G22">
        <f t="shared" si="3"/>
        <v>187.47</v>
      </c>
    </row>
    <row r="23" spans="2:7">
      <c r="B23">
        <v>32</v>
      </c>
      <c r="C23">
        <v>100000</v>
      </c>
      <c r="D23">
        <f t="shared" si="1"/>
        <v>3200000</v>
      </c>
      <c r="E23">
        <v>37199</v>
      </c>
      <c r="F23">
        <f t="shared" si="2"/>
        <v>86023.81784456571</v>
      </c>
      <c r="G23">
        <f t="shared" si="3"/>
        <v>371.99</v>
      </c>
    </row>
    <row r="24" spans="2:7">
      <c r="B24">
        <v>64</v>
      </c>
      <c r="C24">
        <v>100000</v>
      </c>
      <c r="D24">
        <f t="shared" si="1"/>
        <v>6400000</v>
      </c>
      <c r="E24">
        <v>75330</v>
      </c>
      <c r="F24">
        <f t="shared" si="2"/>
        <v>84959.511482808972</v>
      </c>
      <c r="G24">
        <f t="shared" si="3"/>
        <v>753.3</v>
      </c>
    </row>
    <row r="25" spans="2:7">
      <c r="B25">
        <v>128</v>
      </c>
      <c r="C25">
        <v>100000</v>
      </c>
      <c r="D25">
        <f t="shared" si="1"/>
        <v>12800000</v>
      </c>
      <c r="E25">
        <v>152104</v>
      </c>
      <c r="F25">
        <f t="shared" si="2"/>
        <v>84152.947982959027</v>
      </c>
      <c r="G25">
        <f t="shared" si="3"/>
        <v>1521.04</v>
      </c>
    </row>
    <row r="26" spans="2:7">
      <c r="B26">
        <v>256</v>
      </c>
      <c r="C26">
        <v>100000</v>
      </c>
      <c r="D26">
        <f t="shared" si="1"/>
        <v>25600000</v>
      </c>
      <c r="E26">
        <v>305118</v>
      </c>
      <c r="F26">
        <f t="shared" si="2"/>
        <v>83901.965796839242</v>
      </c>
      <c r="G26">
        <f t="shared" si="3"/>
        <v>3051.18</v>
      </c>
    </row>
    <row r="29" spans="2:7">
      <c r="B29" t="s">
        <v>10</v>
      </c>
    </row>
    <row r="30" spans="2:7">
      <c r="B30" s="1" t="s">
        <v>6</v>
      </c>
      <c r="C30" s="1" t="s">
        <v>4</v>
      </c>
      <c r="D30" s="1" t="s">
        <v>5</v>
      </c>
      <c r="E30" s="1" t="s">
        <v>0</v>
      </c>
      <c r="F30" s="1" t="s">
        <v>1</v>
      </c>
      <c r="G30" s="1" t="s">
        <v>7</v>
      </c>
    </row>
    <row r="31" spans="2:7">
      <c r="B31">
        <v>1</v>
      </c>
      <c r="C31">
        <v>100000</v>
      </c>
      <c r="D31">
        <f>B31*C31</f>
        <v>100000</v>
      </c>
      <c r="E31">
        <v>3752</v>
      </c>
      <c r="F31">
        <f>D31/E31*1000</f>
        <v>26652.452025586354</v>
      </c>
      <c r="G31">
        <f>E31*1000/100000</f>
        <v>37.520000000000003</v>
      </c>
    </row>
    <row r="32" spans="2:7">
      <c r="B32">
        <v>2</v>
      </c>
      <c r="C32">
        <v>100000</v>
      </c>
      <c r="D32">
        <f t="shared" ref="D32:D39" si="4">B32*C32</f>
        <v>200000</v>
      </c>
      <c r="E32">
        <v>3790</v>
      </c>
      <c r="F32">
        <f>D32/E32*1000</f>
        <v>52770.448548812667</v>
      </c>
      <c r="G32">
        <f>E32*1000/100000</f>
        <v>37.9</v>
      </c>
    </row>
    <row r="33" spans="2:7">
      <c r="B33">
        <v>4</v>
      </c>
      <c r="C33">
        <v>100000</v>
      </c>
      <c r="D33">
        <f t="shared" si="4"/>
        <v>400000</v>
      </c>
      <c r="E33">
        <v>5466</v>
      </c>
      <c r="F33">
        <f>D33/E33*1000</f>
        <v>73179.656055616535</v>
      </c>
      <c r="G33">
        <f>E33*1000/100000</f>
        <v>54.66</v>
      </c>
    </row>
    <row r="34" spans="2:7">
      <c r="B34">
        <v>8</v>
      </c>
      <c r="C34">
        <v>100000</v>
      </c>
      <c r="D34">
        <f t="shared" si="4"/>
        <v>800000</v>
      </c>
      <c r="E34">
        <v>12284</v>
      </c>
      <c r="F34">
        <f>D34/E34*1000</f>
        <v>65125.366330185614</v>
      </c>
      <c r="G34">
        <f>E34*1000/100000</f>
        <v>122.84</v>
      </c>
    </row>
    <row r="35" spans="2:7">
      <c r="B35">
        <v>16</v>
      </c>
      <c r="C35">
        <v>100000</v>
      </c>
      <c r="D35">
        <f t="shared" si="4"/>
        <v>1600000</v>
      </c>
      <c r="E35">
        <v>22327</v>
      </c>
      <c r="F35">
        <f>D35/E35*1000</f>
        <v>71662.113136561122</v>
      </c>
      <c r="G35">
        <f>E35*1000/100000</f>
        <v>223.27</v>
      </c>
    </row>
    <row r="36" spans="2:7">
      <c r="B36">
        <v>32</v>
      </c>
      <c r="C36">
        <v>100000</v>
      </c>
      <c r="D36">
        <f t="shared" si="4"/>
        <v>3200000</v>
      </c>
      <c r="E36">
        <v>43773</v>
      </c>
      <c r="F36">
        <f>D36/E36*1000</f>
        <v>73104.425102231966</v>
      </c>
      <c r="G36">
        <f>E36*1000/100000</f>
        <v>437.73</v>
      </c>
    </row>
    <row r="37" spans="2:7">
      <c r="B37">
        <v>64</v>
      </c>
      <c r="C37">
        <v>100000</v>
      </c>
      <c r="D37">
        <f t="shared" si="4"/>
        <v>6400000</v>
      </c>
      <c r="E37">
        <v>88221</v>
      </c>
      <c r="F37">
        <f>D37/E37*1000</f>
        <v>72545.085637206561</v>
      </c>
      <c r="G37">
        <f>E37*1000/100000</f>
        <v>882.21</v>
      </c>
    </row>
    <row r="38" spans="2:7">
      <c r="B38">
        <v>128</v>
      </c>
      <c r="C38">
        <v>100000</v>
      </c>
      <c r="D38">
        <f t="shared" si="4"/>
        <v>12800000</v>
      </c>
      <c r="E38">
        <v>177084</v>
      </c>
      <c r="F38">
        <f>D38/E38*1000</f>
        <v>72282.080820401621</v>
      </c>
      <c r="G38">
        <f>E38*1000/100000</f>
        <v>1770.84</v>
      </c>
    </row>
    <row r="39" spans="2:7">
      <c r="B39">
        <v>256</v>
      </c>
      <c r="C39">
        <v>100000</v>
      </c>
      <c r="D39">
        <f t="shared" si="4"/>
        <v>25600000</v>
      </c>
      <c r="E39">
        <v>366324</v>
      </c>
      <c r="F39">
        <f>D39/E39*1000</f>
        <v>69883.491117153128</v>
      </c>
      <c r="G39">
        <f>E39*1000/100000</f>
        <v>3663.24</v>
      </c>
    </row>
    <row r="41" spans="2:7">
      <c r="B41" t="s">
        <v>11</v>
      </c>
    </row>
    <row r="42" spans="2:7">
      <c r="B42" s="1" t="s">
        <v>6</v>
      </c>
      <c r="C42" s="1" t="s">
        <v>4</v>
      </c>
      <c r="D42" s="1" t="s">
        <v>5</v>
      </c>
      <c r="E42" s="1" t="s">
        <v>0</v>
      </c>
      <c r="F42" s="1" t="s">
        <v>1</v>
      </c>
      <c r="G42" s="1" t="s">
        <v>7</v>
      </c>
    </row>
    <row r="43" spans="2:7">
      <c r="B43">
        <v>1</v>
      </c>
      <c r="C43">
        <v>100000</v>
      </c>
      <c r="D43">
        <f>B43*C43</f>
        <v>100000</v>
      </c>
      <c r="E43">
        <v>7688</v>
      </c>
      <c r="F43">
        <f>D43/E43*1000</f>
        <v>13007.284079084287</v>
      </c>
      <c r="G43">
        <f>E43*1000/100000</f>
        <v>76.88</v>
      </c>
    </row>
    <row r="44" spans="2:7">
      <c r="B44">
        <v>2</v>
      </c>
      <c r="C44">
        <v>100000</v>
      </c>
      <c r="D44">
        <f t="shared" ref="D44:D51" si="5">B44*C44</f>
        <v>200000</v>
      </c>
      <c r="E44">
        <v>9391</v>
      </c>
      <c r="F44">
        <f t="shared" ref="F44:F51" si="6">D44/E44*1000</f>
        <v>21296.986476413585</v>
      </c>
      <c r="G44">
        <f t="shared" ref="G44:G51" si="7">E44*1000/100000</f>
        <v>93.91</v>
      </c>
    </row>
    <row r="45" spans="2:7">
      <c r="B45">
        <v>4</v>
      </c>
      <c r="C45">
        <v>100000</v>
      </c>
      <c r="D45">
        <f t="shared" si="5"/>
        <v>400000</v>
      </c>
      <c r="E45">
        <v>9775</v>
      </c>
      <c r="F45">
        <f t="shared" si="6"/>
        <v>40920.716112531969</v>
      </c>
      <c r="G45">
        <f t="shared" si="7"/>
        <v>97.75</v>
      </c>
    </row>
    <row r="46" spans="2:7">
      <c r="B46">
        <v>8</v>
      </c>
      <c r="C46">
        <v>100000</v>
      </c>
      <c r="D46">
        <f t="shared" si="5"/>
        <v>800000</v>
      </c>
      <c r="E46">
        <v>11391</v>
      </c>
      <c r="F46">
        <f t="shared" si="6"/>
        <v>70230.884031252746</v>
      </c>
      <c r="G46">
        <f t="shared" si="7"/>
        <v>113.91</v>
      </c>
    </row>
    <row r="47" spans="2:7">
      <c r="B47">
        <v>16</v>
      </c>
      <c r="C47">
        <v>100000</v>
      </c>
      <c r="D47">
        <f t="shared" si="5"/>
        <v>1600000</v>
      </c>
      <c r="E47">
        <v>18257</v>
      </c>
      <c r="F47">
        <f t="shared" si="6"/>
        <v>87637.618447718676</v>
      </c>
      <c r="G47">
        <f t="shared" si="7"/>
        <v>182.57</v>
      </c>
    </row>
    <row r="48" spans="2:7">
      <c r="B48">
        <v>32</v>
      </c>
      <c r="C48">
        <v>100000</v>
      </c>
      <c r="D48">
        <f t="shared" si="5"/>
        <v>3200000</v>
      </c>
      <c r="E48">
        <v>36158</v>
      </c>
      <c r="F48">
        <f t="shared" si="6"/>
        <v>88500.470158747718</v>
      </c>
      <c r="G48">
        <f t="shared" si="7"/>
        <v>361.58</v>
      </c>
    </row>
    <row r="49" spans="2:7">
      <c r="B49">
        <v>64</v>
      </c>
      <c r="C49">
        <v>100000</v>
      </c>
      <c r="D49">
        <f t="shared" si="5"/>
        <v>6400000</v>
      </c>
      <c r="E49">
        <v>73604</v>
      </c>
      <c r="F49">
        <f t="shared" si="6"/>
        <v>86951.796098038147</v>
      </c>
      <c r="G49">
        <f t="shared" si="7"/>
        <v>736.04</v>
      </c>
    </row>
    <row r="50" spans="2:7">
      <c r="B50">
        <v>128</v>
      </c>
      <c r="C50">
        <v>100000</v>
      </c>
      <c r="D50">
        <f t="shared" si="5"/>
        <v>12800000</v>
      </c>
      <c r="E50">
        <v>145365</v>
      </c>
      <c r="F50">
        <f t="shared" si="6"/>
        <v>88054.208372029025</v>
      </c>
      <c r="G50">
        <f t="shared" si="7"/>
        <v>1453.65</v>
      </c>
    </row>
    <row r="51" spans="2:7">
      <c r="B51">
        <v>256</v>
      </c>
      <c r="C51">
        <v>100000</v>
      </c>
      <c r="D51">
        <f t="shared" si="5"/>
        <v>25600000</v>
      </c>
      <c r="E51">
        <v>310137</v>
      </c>
      <c r="F51">
        <f t="shared" si="6"/>
        <v>82544.165965363689</v>
      </c>
      <c r="G51">
        <f t="shared" si="7"/>
        <v>3101.37</v>
      </c>
    </row>
  </sheetData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B2:G51"/>
  <sheetViews>
    <sheetView tabSelected="1" workbookViewId="0">
      <selection activeCell="D55" sqref="D55"/>
    </sheetView>
  </sheetViews>
  <sheetFormatPr defaultRowHeight="13.5"/>
  <cols>
    <col min="2" max="2" width="11.375" customWidth="1"/>
    <col min="3" max="3" width="23.875" customWidth="1"/>
    <col min="4" max="4" width="18.25" customWidth="1"/>
    <col min="5" max="5" width="14.5" customWidth="1"/>
    <col min="6" max="6" width="19" customWidth="1"/>
    <col min="7" max="7" width="24" customWidth="1"/>
  </cols>
  <sheetData>
    <row r="2" spans="2:7">
      <c r="B2" t="s">
        <v>15</v>
      </c>
    </row>
    <row r="4" spans="2:7">
      <c r="B4" t="s">
        <v>16</v>
      </c>
    </row>
    <row r="5" spans="2:7">
      <c r="B5" s="1" t="s">
        <v>6</v>
      </c>
      <c r="C5" s="1" t="s">
        <v>4</v>
      </c>
      <c r="D5" s="1" t="s">
        <v>5</v>
      </c>
      <c r="E5" s="1" t="s">
        <v>0</v>
      </c>
      <c r="F5" s="1" t="s">
        <v>1</v>
      </c>
      <c r="G5" s="1" t="s">
        <v>7</v>
      </c>
    </row>
    <row r="6" spans="2:7">
      <c r="B6">
        <v>1</v>
      </c>
      <c r="C6">
        <v>100000</v>
      </c>
      <c r="D6">
        <f>B6*C6</f>
        <v>100000</v>
      </c>
      <c r="E6">
        <v>2289</v>
      </c>
      <c r="F6">
        <f>D6/E6*1000</f>
        <v>43687.1996505024</v>
      </c>
      <c r="G6">
        <f>E6*1000/100000</f>
        <v>22.89</v>
      </c>
    </row>
    <row r="7" spans="2:7">
      <c r="B7">
        <v>2</v>
      </c>
      <c r="C7">
        <v>100000</v>
      </c>
      <c r="D7">
        <f t="shared" ref="D7:D14" si="0">B7*C7</f>
        <v>200000</v>
      </c>
      <c r="E7">
        <v>2366</v>
      </c>
      <c r="F7">
        <f t="shared" ref="F7:F14" si="1">D7/E7*1000</f>
        <v>84530.853761622988</v>
      </c>
      <c r="G7">
        <f t="shared" ref="G7:G14" si="2">E7*1000/100000</f>
        <v>23.66</v>
      </c>
    </row>
    <row r="8" spans="2:7">
      <c r="B8">
        <v>4</v>
      </c>
      <c r="C8">
        <v>100000</v>
      </c>
      <c r="D8">
        <f t="shared" si="0"/>
        <v>400000</v>
      </c>
      <c r="E8">
        <v>2545</v>
      </c>
      <c r="F8">
        <f t="shared" si="1"/>
        <v>157170.92337917487</v>
      </c>
      <c r="G8">
        <f t="shared" si="2"/>
        <v>25.45</v>
      </c>
    </row>
    <row r="9" spans="2:7">
      <c r="B9">
        <v>8</v>
      </c>
      <c r="C9">
        <v>100000</v>
      </c>
      <c r="D9">
        <f t="shared" si="0"/>
        <v>800000</v>
      </c>
      <c r="E9">
        <v>3059</v>
      </c>
      <c r="F9">
        <f t="shared" si="1"/>
        <v>261523.37365152012</v>
      </c>
      <c r="G9">
        <f t="shared" si="2"/>
        <v>30.59</v>
      </c>
    </row>
    <row r="10" spans="2:7">
      <c r="B10">
        <v>16</v>
      </c>
      <c r="C10">
        <v>100000</v>
      </c>
      <c r="D10">
        <f t="shared" si="0"/>
        <v>1600000</v>
      </c>
      <c r="E10">
        <v>3396</v>
      </c>
      <c r="F10">
        <f t="shared" si="1"/>
        <v>471142.5206124853</v>
      </c>
      <c r="G10">
        <f t="shared" si="2"/>
        <v>33.96</v>
      </c>
    </row>
    <row r="11" spans="2:7">
      <c r="B11">
        <v>32</v>
      </c>
      <c r="C11">
        <v>100000</v>
      </c>
      <c r="D11">
        <f t="shared" si="0"/>
        <v>3200000</v>
      </c>
      <c r="E11">
        <v>4924</v>
      </c>
      <c r="F11">
        <f t="shared" si="1"/>
        <v>649878.14784727863</v>
      </c>
      <c r="G11">
        <f t="shared" si="2"/>
        <v>49.24</v>
      </c>
    </row>
    <row r="12" spans="2:7">
      <c r="B12">
        <v>64</v>
      </c>
      <c r="C12">
        <v>100000</v>
      </c>
      <c r="D12">
        <f t="shared" si="0"/>
        <v>6400000</v>
      </c>
      <c r="E12">
        <v>9854</v>
      </c>
      <c r="F12">
        <f t="shared" si="1"/>
        <v>649482.44367769442</v>
      </c>
      <c r="G12">
        <f t="shared" si="2"/>
        <v>98.54</v>
      </c>
    </row>
    <row r="13" spans="2:7">
      <c r="B13">
        <v>128</v>
      </c>
      <c r="C13">
        <v>100000</v>
      </c>
      <c r="D13">
        <f t="shared" si="0"/>
        <v>12800000</v>
      </c>
      <c r="E13">
        <v>20785</v>
      </c>
      <c r="F13">
        <f t="shared" si="1"/>
        <v>615828.72263651679</v>
      </c>
      <c r="G13">
        <f t="shared" si="2"/>
        <v>207.85</v>
      </c>
    </row>
    <row r="14" spans="2:7">
      <c r="B14">
        <v>256</v>
      </c>
      <c r="C14">
        <v>100000</v>
      </c>
      <c r="D14">
        <f t="shared" si="0"/>
        <v>25600000</v>
      </c>
      <c r="E14">
        <v>41711</v>
      </c>
      <c r="F14">
        <f t="shared" si="1"/>
        <v>613746.97322049341</v>
      </c>
      <c r="G14">
        <f t="shared" si="2"/>
        <v>417.11</v>
      </c>
    </row>
    <row r="16" spans="2:7">
      <c r="B16" t="s">
        <v>17</v>
      </c>
    </row>
    <row r="17" spans="2:7">
      <c r="B17" s="1" t="s">
        <v>6</v>
      </c>
      <c r="C17" s="1" t="s">
        <v>4</v>
      </c>
      <c r="D17" s="1" t="s">
        <v>5</v>
      </c>
      <c r="E17" s="1" t="s">
        <v>0</v>
      </c>
      <c r="F17" s="1" t="s">
        <v>1</v>
      </c>
      <c r="G17" s="1" t="s">
        <v>7</v>
      </c>
    </row>
    <row r="18" spans="2:7">
      <c r="B18">
        <v>1</v>
      </c>
      <c r="C18">
        <v>100000</v>
      </c>
      <c r="D18">
        <f>B18*C18</f>
        <v>100000</v>
      </c>
      <c r="E18">
        <v>6939</v>
      </c>
      <c r="F18">
        <f>D18/E18*1000</f>
        <v>14411.298457991064</v>
      </c>
      <c r="G18">
        <f>E18*1000/100000</f>
        <v>69.39</v>
      </c>
    </row>
    <row r="19" spans="2:7">
      <c r="B19">
        <v>2</v>
      </c>
      <c r="C19">
        <v>100000</v>
      </c>
      <c r="D19">
        <f t="shared" ref="D19:D26" si="3">B19*C19</f>
        <v>200000</v>
      </c>
      <c r="E19">
        <v>7086</v>
      </c>
      <c r="F19">
        <f t="shared" ref="F19:F26" si="4">D19/E19*1000</f>
        <v>28224.66836014677</v>
      </c>
      <c r="G19">
        <f t="shared" ref="G19:G26" si="5">E19*1000/100000</f>
        <v>70.86</v>
      </c>
    </row>
    <row r="20" spans="2:7">
      <c r="B20">
        <v>4</v>
      </c>
      <c r="C20">
        <v>100000</v>
      </c>
      <c r="D20">
        <f t="shared" si="3"/>
        <v>400000</v>
      </c>
      <c r="E20">
        <v>7311</v>
      </c>
      <c r="F20">
        <f t="shared" si="4"/>
        <v>54712.07769115032</v>
      </c>
      <c r="G20">
        <f t="shared" si="5"/>
        <v>73.11</v>
      </c>
    </row>
    <row r="21" spans="2:7">
      <c r="B21">
        <v>8</v>
      </c>
      <c r="C21">
        <v>100000</v>
      </c>
      <c r="D21">
        <f t="shared" si="3"/>
        <v>800000</v>
      </c>
      <c r="E21">
        <v>7413</v>
      </c>
      <c r="F21">
        <f t="shared" si="4"/>
        <v>107918.52151625522</v>
      </c>
      <c r="G21">
        <f t="shared" si="5"/>
        <v>74.13</v>
      </c>
    </row>
    <row r="22" spans="2:7">
      <c r="B22">
        <v>16</v>
      </c>
      <c r="C22">
        <v>100000</v>
      </c>
      <c r="D22">
        <f t="shared" si="3"/>
        <v>1600000</v>
      </c>
      <c r="E22">
        <v>8408</v>
      </c>
      <c r="F22">
        <f t="shared" si="4"/>
        <v>190294.95718363463</v>
      </c>
      <c r="G22">
        <f t="shared" si="5"/>
        <v>84.08</v>
      </c>
    </row>
    <row r="23" spans="2:7">
      <c r="B23">
        <v>32</v>
      </c>
      <c r="C23">
        <v>100000</v>
      </c>
      <c r="D23">
        <f t="shared" si="3"/>
        <v>3200000</v>
      </c>
      <c r="E23">
        <v>10611</v>
      </c>
      <c r="F23">
        <f t="shared" si="4"/>
        <v>301573.83846951282</v>
      </c>
      <c r="G23">
        <f t="shared" si="5"/>
        <v>106.11</v>
      </c>
    </row>
    <row r="24" spans="2:7">
      <c r="B24">
        <v>64</v>
      </c>
      <c r="C24">
        <v>100000</v>
      </c>
      <c r="D24">
        <f t="shared" si="3"/>
        <v>6400000</v>
      </c>
      <c r="E24">
        <v>14151</v>
      </c>
      <c r="F24">
        <f t="shared" si="4"/>
        <v>452264.85760723625</v>
      </c>
      <c r="G24">
        <f t="shared" si="5"/>
        <v>141.51</v>
      </c>
    </row>
    <row r="25" spans="2:7">
      <c r="B25">
        <v>128</v>
      </c>
      <c r="C25">
        <v>100000</v>
      </c>
      <c r="D25">
        <f t="shared" si="3"/>
        <v>12800000</v>
      </c>
      <c r="E25">
        <v>25417</v>
      </c>
      <c r="F25">
        <f t="shared" si="4"/>
        <v>503599.95278750442</v>
      </c>
      <c r="G25">
        <f t="shared" si="5"/>
        <v>254.17</v>
      </c>
    </row>
    <row r="26" spans="2:7">
      <c r="B26">
        <v>256</v>
      </c>
      <c r="C26">
        <v>100000</v>
      </c>
      <c r="D26">
        <f t="shared" si="3"/>
        <v>25600000</v>
      </c>
      <c r="E26">
        <v>54633</v>
      </c>
      <c r="F26">
        <f t="shared" si="4"/>
        <v>468581.26041037467</v>
      </c>
      <c r="G26">
        <f t="shared" si="5"/>
        <v>546.33000000000004</v>
      </c>
    </row>
    <row r="29" spans="2:7">
      <c r="B29" t="s">
        <v>18</v>
      </c>
    </row>
    <row r="30" spans="2:7">
      <c r="B30" s="1" t="s">
        <v>6</v>
      </c>
      <c r="C30" s="1" t="s">
        <v>4</v>
      </c>
      <c r="D30" s="1" t="s">
        <v>5</v>
      </c>
      <c r="E30" s="1" t="s">
        <v>0</v>
      </c>
      <c r="F30" s="1" t="s">
        <v>1</v>
      </c>
      <c r="G30" s="1" t="s">
        <v>7</v>
      </c>
    </row>
    <row r="31" spans="2:7">
      <c r="B31">
        <v>1</v>
      </c>
      <c r="C31">
        <v>100000</v>
      </c>
      <c r="D31">
        <f>B31*C31</f>
        <v>100000</v>
      </c>
      <c r="E31">
        <v>2474</v>
      </c>
      <c r="F31">
        <f>D31/E31*1000</f>
        <v>40420.371867421185</v>
      </c>
      <c r="G31">
        <f>E31*1000/100000</f>
        <v>24.74</v>
      </c>
    </row>
    <row r="32" spans="2:7">
      <c r="B32">
        <v>2</v>
      </c>
      <c r="C32">
        <v>100000</v>
      </c>
      <c r="D32">
        <f t="shared" ref="D32:D39" si="6">B32*C32</f>
        <v>200000</v>
      </c>
      <c r="E32">
        <v>2389</v>
      </c>
      <c r="F32">
        <f t="shared" ref="F32:F39" si="7">D32/E32*1000</f>
        <v>83717.036416910851</v>
      </c>
      <c r="G32">
        <f t="shared" ref="G32:G39" si="8">E32*1000/100000</f>
        <v>23.89</v>
      </c>
    </row>
    <row r="33" spans="2:7">
      <c r="B33">
        <v>4</v>
      </c>
      <c r="C33">
        <v>100000</v>
      </c>
      <c r="D33">
        <f t="shared" si="6"/>
        <v>400000</v>
      </c>
      <c r="E33">
        <v>2463</v>
      </c>
      <c r="F33">
        <f t="shared" si="7"/>
        <v>162403.57287860333</v>
      </c>
      <c r="G33">
        <f t="shared" si="8"/>
        <v>24.63</v>
      </c>
    </row>
    <row r="34" spans="2:7">
      <c r="B34">
        <v>8</v>
      </c>
      <c r="C34">
        <v>100000</v>
      </c>
      <c r="D34">
        <f t="shared" si="6"/>
        <v>800000</v>
      </c>
      <c r="E34">
        <v>2773</v>
      </c>
      <c r="F34">
        <f t="shared" si="7"/>
        <v>288496.21348719794</v>
      </c>
      <c r="G34">
        <f t="shared" si="8"/>
        <v>27.73</v>
      </c>
    </row>
    <row r="35" spans="2:7">
      <c r="B35">
        <v>16</v>
      </c>
      <c r="C35">
        <v>100000</v>
      </c>
      <c r="D35">
        <f t="shared" si="6"/>
        <v>1600000</v>
      </c>
      <c r="E35">
        <v>3331</v>
      </c>
      <c r="F35">
        <f t="shared" si="7"/>
        <v>480336.23536475532</v>
      </c>
      <c r="G35">
        <f t="shared" si="8"/>
        <v>33.31</v>
      </c>
    </row>
    <row r="36" spans="2:7">
      <c r="B36">
        <v>32</v>
      </c>
      <c r="C36">
        <v>100000</v>
      </c>
      <c r="D36">
        <f t="shared" si="6"/>
        <v>3200000</v>
      </c>
      <c r="E36">
        <v>4031</v>
      </c>
      <c r="F36">
        <f t="shared" si="7"/>
        <v>793847.68047630857</v>
      </c>
      <c r="G36">
        <f t="shared" si="8"/>
        <v>40.31</v>
      </c>
    </row>
    <row r="37" spans="2:7">
      <c r="B37">
        <v>64</v>
      </c>
      <c r="C37">
        <v>100000</v>
      </c>
      <c r="D37">
        <f t="shared" si="6"/>
        <v>6400000</v>
      </c>
      <c r="E37">
        <v>6277</v>
      </c>
      <c r="F37">
        <f t="shared" si="7"/>
        <v>1019595.3480962242</v>
      </c>
      <c r="G37">
        <f t="shared" si="8"/>
        <v>62.77</v>
      </c>
    </row>
    <row r="38" spans="2:7">
      <c r="B38">
        <v>128</v>
      </c>
      <c r="C38">
        <v>100000</v>
      </c>
      <c r="D38">
        <f t="shared" si="6"/>
        <v>12800000</v>
      </c>
      <c r="E38">
        <v>12712</v>
      </c>
      <c r="F38">
        <f t="shared" si="7"/>
        <v>1006922.5928256764</v>
      </c>
      <c r="G38">
        <f t="shared" si="8"/>
        <v>127.12</v>
      </c>
    </row>
    <row r="39" spans="2:7">
      <c r="B39">
        <v>256</v>
      </c>
      <c r="C39">
        <v>100000</v>
      </c>
      <c r="D39">
        <f t="shared" si="6"/>
        <v>25600000</v>
      </c>
      <c r="E39">
        <v>23346</v>
      </c>
      <c r="F39">
        <f t="shared" si="7"/>
        <v>1096547.5884519834</v>
      </c>
      <c r="G39">
        <f t="shared" si="8"/>
        <v>233.46</v>
      </c>
    </row>
    <row r="41" spans="2:7">
      <c r="B41" t="s">
        <v>19</v>
      </c>
    </row>
    <row r="42" spans="2:7">
      <c r="B42" s="1" t="s">
        <v>6</v>
      </c>
      <c r="C42" s="1" t="s">
        <v>4</v>
      </c>
      <c r="D42" s="1" t="s">
        <v>5</v>
      </c>
      <c r="E42" s="1" t="s">
        <v>0</v>
      </c>
      <c r="F42" s="1" t="s">
        <v>1</v>
      </c>
      <c r="G42" s="1" t="s">
        <v>7</v>
      </c>
    </row>
    <row r="43" spans="2:7">
      <c r="B43">
        <v>1</v>
      </c>
      <c r="C43">
        <v>100000</v>
      </c>
      <c r="D43">
        <f>B43*C43</f>
        <v>100000</v>
      </c>
      <c r="E43">
        <v>6988</v>
      </c>
      <c r="F43">
        <f>D43/E43*1000</f>
        <v>14310.246136233543</v>
      </c>
      <c r="G43">
        <f>E43*1000/100000</f>
        <v>69.88</v>
      </c>
    </row>
    <row r="44" spans="2:7">
      <c r="B44">
        <v>2</v>
      </c>
      <c r="C44">
        <v>100000</v>
      </c>
      <c r="D44">
        <f t="shared" ref="D44:D51" si="9">B44*C44</f>
        <v>200000</v>
      </c>
      <c r="E44">
        <v>7000</v>
      </c>
      <c r="F44">
        <f t="shared" ref="F44:F51" si="10">D44/E44*1000</f>
        <v>28571.428571428572</v>
      </c>
      <c r="G44">
        <f t="shared" ref="G44:G51" si="11">E44*1000/100000</f>
        <v>70</v>
      </c>
    </row>
    <row r="45" spans="2:7">
      <c r="B45">
        <v>4</v>
      </c>
      <c r="C45">
        <v>100000</v>
      </c>
      <c r="D45">
        <f t="shared" si="9"/>
        <v>400000</v>
      </c>
      <c r="E45">
        <v>7163</v>
      </c>
      <c r="F45">
        <f t="shared" si="10"/>
        <v>55842.524082088508</v>
      </c>
      <c r="G45">
        <f t="shared" si="11"/>
        <v>71.63</v>
      </c>
    </row>
    <row r="46" spans="2:7">
      <c r="B46">
        <v>8</v>
      </c>
      <c r="C46">
        <v>100000</v>
      </c>
      <c r="D46">
        <f t="shared" si="9"/>
        <v>800000</v>
      </c>
      <c r="E46">
        <v>7225</v>
      </c>
      <c r="F46">
        <f t="shared" si="10"/>
        <v>110726.64359861592</v>
      </c>
      <c r="G46">
        <f t="shared" si="11"/>
        <v>72.25</v>
      </c>
    </row>
    <row r="47" spans="2:7">
      <c r="B47">
        <v>16</v>
      </c>
      <c r="C47">
        <v>100000</v>
      </c>
      <c r="D47">
        <f t="shared" si="9"/>
        <v>1600000</v>
      </c>
      <c r="E47">
        <v>8228</v>
      </c>
      <c r="F47">
        <f t="shared" si="10"/>
        <v>194457.94846864365</v>
      </c>
      <c r="G47">
        <f t="shared" si="11"/>
        <v>82.28</v>
      </c>
    </row>
    <row r="48" spans="2:7">
      <c r="B48">
        <v>32</v>
      </c>
      <c r="C48">
        <v>100000</v>
      </c>
      <c r="D48">
        <f t="shared" si="9"/>
        <v>3200000</v>
      </c>
      <c r="E48">
        <v>9978</v>
      </c>
      <c r="F48">
        <f t="shared" si="10"/>
        <v>320705.55221487273</v>
      </c>
      <c r="G48">
        <f t="shared" si="11"/>
        <v>99.78</v>
      </c>
    </row>
    <row r="49" spans="2:7">
      <c r="B49">
        <v>64</v>
      </c>
      <c r="C49">
        <v>100000</v>
      </c>
      <c r="D49">
        <f t="shared" si="9"/>
        <v>6400000</v>
      </c>
      <c r="E49">
        <v>12943</v>
      </c>
      <c r="F49">
        <f t="shared" si="10"/>
        <v>494475.77841304179</v>
      </c>
      <c r="G49">
        <f t="shared" si="11"/>
        <v>129.43</v>
      </c>
    </row>
    <row r="50" spans="2:7">
      <c r="B50">
        <v>128</v>
      </c>
      <c r="C50">
        <v>100000</v>
      </c>
      <c r="D50">
        <f t="shared" si="9"/>
        <v>12800000</v>
      </c>
      <c r="E50">
        <v>27383</v>
      </c>
      <c r="F50">
        <f t="shared" si="10"/>
        <v>467443.30423985684</v>
      </c>
      <c r="G50">
        <f t="shared" si="11"/>
        <v>273.83</v>
      </c>
    </row>
    <row r="51" spans="2:7">
      <c r="B51">
        <v>256</v>
      </c>
      <c r="C51">
        <v>100000</v>
      </c>
      <c r="D51">
        <f t="shared" si="9"/>
        <v>25600000</v>
      </c>
      <c r="E51">
        <v>53769</v>
      </c>
      <c r="F51">
        <f t="shared" si="10"/>
        <v>476110.77014636685</v>
      </c>
      <c r="G51">
        <f t="shared" si="11"/>
        <v>537.69000000000005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GTS(single thread)</vt:lpstr>
      <vt:lpstr>GTS(2 threads) </vt:lpstr>
      <vt:lpstr>GTS(4 threads)</vt:lpstr>
      <vt:lpstr>GTS Chart</vt:lpstr>
      <vt:lpstr>Seq(1 seq, coord)</vt:lpstr>
      <vt:lpstr>Seq(1 seq per thread, coord)</vt:lpstr>
      <vt:lpstr>Seq(1 seq, cata)</vt:lpstr>
      <vt:lpstr>Seq(1 seq per thread, cata)</vt:lpstr>
      <vt:lpstr>Sequence(final)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2018-08-17T05:51:34Z</dcterms:modified>
</cp:coreProperties>
</file>