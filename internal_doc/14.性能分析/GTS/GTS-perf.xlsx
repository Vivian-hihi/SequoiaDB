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GTS(single thread)" sheetId="1" r:id="rId1"/>
    <sheet name="GTS(2 threads) " sheetId="5" r:id="rId2"/>
    <sheet name="GTS(4 threads)" sheetId="3" r:id="rId3"/>
    <sheet name="GTS Chart" sheetId="4" r:id="rId4"/>
    <sheet name="Sequence(2 threads)" sheetId="6" r:id="rId5"/>
  </sheets>
  <calcPr calcId="124519"/>
</workbook>
</file>

<file path=xl/calcChain.xml><?xml version="1.0" encoding="utf-8"?>
<calcChain xmlns="http://schemas.openxmlformats.org/spreadsheetml/2006/main">
  <c r="G24" i="6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F16"/>
  <c r="D16"/>
  <c r="G12"/>
  <c r="D12"/>
  <c r="F12" s="1"/>
  <c r="G11"/>
  <c r="F11"/>
  <c r="D11"/>
  <c r="G10"/>
  <c r="D10"/>
  <c r="F10" s="1"/>
  <c r="G9"/>
  <c r="F9"/>
  <c r="D9"/>
  <c r="G8"/>
  <c r="D8"/>
  <c r="F8" s="1"/>
  <c r="G7"/>
  <c r="F7"/>
  <c r="D7"/>
  <c r="G6"/>
  <c r="D6"/>
  <c r="F6" s="1"/>
  <c r="G5"/>
  <c r="F5"/>
  <c r="D5"/>
  <c r="G4"/>
  <c r="D4"/>
  <c r="F4" s="1"/>
  <c r="G24" i="5"/>
  <c r="F24"/>
  <c r="D24"/>
  <c r="G23"/>
  <c r="D23"/>
  <c r="F23" s="1"/>
  <c r="G22"/>
  <c r="F22"/>
  <c r="D22"/>
  <c r="G21"/>
  <c r="D21"/>
  <c r="F21" s="1"/>
  <c r="G20"/>
  <c r="F20"/>
  <c r="D20"/>
  <c r="G19"/>
  <c r="D19"/>
  <c r="F19" s="1"/>
  <c r="G18"/>
  <c r="F18"/>
  <c r="D18"/>
  <c r="G17"/>
  <c r="D17"/>
  <c r="F17" s="1"/>
  <c r="G16"/>
  <c r="F16"/>
  <c r="D16"/>
  <c r="G12"/>
  <c r="D12"/>
  <c r="F12" s="1"/>
  <c r="G11"/>
  <c r="F11"/>
  <c r="D11"/>
  <c r="G10"/>
  <c r="D10"/>
  <c r="F10" s="1"/>
  <c r="G9"/>
  <c r="F9"/>
  <c r="D9"/>
  <c r="G8"/>
  <c r="D8"/>
  <c r="F8" s="1"/>
  <c r="G7"/>
  <c r="F7"/>
  <c r="D7"/>
  <c r="G6"/>
  <c r="D6"/>
  <c r="F6" s="1"/>
  <c r="G5"/>
  <c r="F5"/>
  <c r="D5"/>
  <c r="G4"/>
  <c r="D4"/>
  <c r="F4" s="1"/>
  <c r="G24" i="3"/>
  <c r="D24"/>
  <c r="F24" s="1"/>
  <c r="G23"/>
  <c r="F23"/>
  <c r="D23"/>
  <c r="G22"/>
  <c r="D22"/>
  <c r="F22" s="1"/>
  <c r="G21"/>
  <c r="F21"/>
  <c r="D21"/>
  <c r="G20"/>
  <c r="D20"/>
  <c r="F20" s="1"/>
  <c r="G19"/>
  <c r="F19"/>
  <c r="D19"/>
  <c r="G18"/>
  <c r="D18"/>
  <c r="F18" s="1"/>
  <c r="G17"/>
  <c r="F17"/>
  <c r="D17"/>
  <c r="G16"/>
  <c r="D16"/>
  <c r="F16" s="1"/>
  <c r="G12"/>
  <c r="F12"/>
  <c r="D12"/>
  <c r="G11"/>
  <c r="D11"/>
  <c r="F11" s="1"/>
  <c r="G10"/>
  <c r="F10"/>
  <c r="D10"/>
  <c r="G9"/>
  <c r="D9"/>
  <c r="F9" s="1"/>
  <c r="G8"/>
  <c r="F8"/>
  <c r="D8"/>
  <c r="G7"/>
  <c r="D7"/>
  <c r="F7" s="1"/>
  <c r="G6"/>
  <c r="F6"/>
  <c r="D6"/>
  <c r="G5"/>
  <c r="D5"/>
  <c r="F5" s="1"/>
  <c r="G4"/>
  <c r="F4"/>
  <c r="D4"/>
  <c r="G17" i="1"/>
  <c r="G18"/>
  <c r="G19"/>
  <c r="G20"/>
  <c r="G21"/>
  <c r="G22"/>
  <c r="G23"/>
  <c r="G24"/>
  <c r="G16"/>
  <c r="G5"/>
  <c r="G6"/>
  <c r="G7"/>
  <c r="G8"/>
  <c r="G9"/>
  <c r="G10"/>
  <c r="G11"/>
  <c r="G12"/>
  <c r="G4"/>
  <c r="F12"/>
  <c r="F24"/>
  <c r="D12"/>
  <c r="D24"/>
  <c r="F16"/>
  <c r="D23"/>
  <c r="F23" s="1"/>
  <c r="D22"/>
  <c r="F22" s="1"/>
  <c r="D21"/>
  <c r="F21" s="1"/>
  <c r="D20"/>
  <c r="F20" s="1"/>
  <c r="D19"/>
  <c r="F19" s="1"/>
  <c r="D18"/>
  <c r="F18" s="1"/>
  <c r="D17"/>
  <c r="F17" s="1"/>
  <c r="D16"/>
  <c r="F5"/>
  <c r="F6"/>
  <c r="F7"/>
  <c r="F8"/>
  <c r="F9"/>
  <c r="F10"/>
  <c r="F11"/>
  <c r="F4"/>
  <c r="D5"/>
  <c r="D6"/>
  <c r="D7"/>
  <c r="D8"/>
  <c r="D9"/>
  <c r="D10"/>
  <c r="D11"/>
  <c r="D4"/>
</calcChain>
</file>

<file path=xl/sharedStrings.xml><?xml version="1.0" encoding="utf-8"?>
<sst xmlns="http://schemas.openxmlformats.org/spreadsheetml/2006/main" count="56" uniqueCount="8">
  <si>
    <t>time(ms)</t>
    <phoneticPr fontId="1" type="noConversion"/>
  </si>
  <si>
    <t>throughput(QPS)</t>
    <phoneticPr fontId="1" type="noConversion"/>
  </si>
  <si>
    <t>localhost</t>
    <phoneticPr fontId="1" type="noConversion"/>
  </si>
  <si>
    <t>2 hosts</t>
    <phoneticPr fontId="1" type="noConversion"/>
  </si>
  <si>
    <t>requests per thread</t>
    <phoneticPr fontId="1" type="noConversion"/>
  </si>
  <si>
    <t>total requests</t>
    <phoneticPr fontId="1" type="noConversion"/>
  </si>
  <si>
    <t>threads</t>
    <phoneticPr fontId="1" type="noConversion"/>
  </si>
  <si>
    <t>average resp time(us)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</si>
</sst>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throughout(single thread)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'GTS(single thread)'!$B$2</c:f>
              <c:strCache>
                <c:ptCount val="1"/>
                <c:pt idx="0">
                  <c:v>localhost</c:v>
                </c:pt>
              </c:strCache>
            </c:strRef>
          </c:tx>
          <c:marker>
            <c:symbol val="none"/>
          </c:marker>
          <c:cat>
            <c:numRef>
              <c:f>'GTS(single thread)'!$B$16:$B$23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'GTS(single thread)'!$F$4:$F$12</c:f>
              <c:numCache>
                <c:formatCode>General</c:formatCode>
                <c:ptCount val="9"/>
                <c:pt idx="0">
                  <c:v>82304.526748971199</c:v>
                </c:pt>
                <c:pt idx="1">
                  <c:v>106609.80810234541</c:v>
                </c:pt>
                <c:pt idx="2">
                  <c:v>149198.06042521447</c:v>
                </c:pt>
                <c:pt idx="3">
                  <c:v>156831.99372672025</c:v>
                </c:pt>
                <c:pt idx="4">
                  <c:v>157790.92702169626</c:v>
                </c:pt>
                <c:pt idx="5">
                  <c:v>166112.95681063124</c:v>
                </c:pt>
                <c:pt idx="6">
                  <c:v>170912.7810714095</c:v>
                </c:pt>
                <c:pt idx="7">
                  <c:v>160553.91099292558</c:v>
                </c:pt>
                <c:pt idx="8">
                  <c:v>162763.93507244901</c:v>
                </c:pt>
              </c:numCache>
            </c:numRef>
          </c:val>
        </c:ser>
        <c:ser>
          <c:idx val="1"/>
          <c:order val="1"/>
          <c:tx>
            <c:strRef>
              <c:f>'GTS(single thread)'!$B$14</c:f>
              <c:strCache>
                <c:ptCount val="1"/>
                <c:pt idx="0">
                  <c:v>2 hosts</c:v>
                </c:pt>
              </c:strCache>
            </c:strRef>
          </c:tx>
          <c:marker>
            <c:symbol val="none"/>
          </c:marker>
          <c:cat>
            <c:numRef>
              <c:f>'GTS(single thread)'!$B$16:$B$23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'GTS(single thread)'!$F$16:$F$24</c:f>
              <c:numCache>
                <c:formatCode>General</c:formatCode>
                <c:ptCount val="9"/>
                <c:pt idx="0">
                  <c:v>23679.848448969929</c:v>
                </c:pt>
                <c:pt idx="1">
                  <c:v>42087.54208754209</c:v>
                </c:pt>
                <c:pt idx="2">
                  <c:v>85744.908896034307</c:v>
                </c:pt>
                <c:pt idx="3">
                  <c:v>155369.97475237912</c:v>
                </c:pt>
                <c:pt idx="4">
                  <c:v>201994.69763918695</c:v>
                </c:pt>
                <c:pt idx="5">
                  <c:v>197555.25373502902</c:v>
                </c:pt>
                <c:pt idx="6">
                  <c:v>203756.76536134988</c:v>
                </c:pt>
                <c:pt idx="7">
                  <c:v>197677.29182110206</c:v>
                </c:pt>
                <c:pt idx="8">
                  <c:v>194931.7738791423</c:v>
                </c:pt>
              </c:numCache>
            </c:numRef>
          </c:val>
        </c:ser>
        <c:marker val="1"/>
        <c:axId val="54446336"/>
        <c:axId val="55062528"/>
      </c:lineChart>
      <c:catAx>
        <c:axId val="54446336"/>
        <c:scaling>
          <c:orientation val="minMax"/>
        </c:scaling>
        <c:axPos val="b"/>
        <c:numFmt formatCode="General" sourceLinked="1"/>
        <c:tickLblPos val="nextTo"/>
        <c:crossAx val="55062528"/>
        <c:crosses val="autoZero"/>
        <c:auto val="1"/>
        <c:lblAlgn val="ctr"/>
        <c:lblOffset val="100"/>
      </c:catAx>
      <c:valAx>
        <c:axId val="55062528"/>
        <c:scaling>
          <c:orientation val="minMax"/>
        </c:scaling>
        <c:axPos val="l"/>
        <c:majorGridlines/>
        <c:numFmt formatCode="General" sourceLinked="1"/>
        <c:tickLblPos val="nextTo"/>
        <c:crossAx val="544463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 time</a:t>
            </a:r>
            <a:r>
              <a:rPr lang="en-US" sz="1800" b="1" i="0" u="none" strike="noStrike" baseline="0"/>
              <a:t>(single thread)</a:t>
            </a:r>
            <a:endParaRPr lang="en-US" alt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'GTS(single thread)'!$B$2</c:f>
              <c:strCache>
                <c:ptCount val="1"/>
                <c:pt idx="0">
                  <c:v>localhost</c:v>
                </c:pt>
              </c:strCache>
            </c:strRef>
          </c:tx>
          <c:marker>
            <c:symbol val="none"/>
          </c:marker>
          <c:cat>
            <c:numRef>
              <c:f>'GTS(single thread)'!$B$16:$B$24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'GTS(single thread)'!$G$4:$G$12</c:f>
              <c:numCache>
                <c:formatCode>General</c:formatCode>
                <c:ptCount val="9"/>
                <c:pt idx="0">
                  <c:v>12.15</c:v>
                </c:pt>
                <c:pt idx="1">
                  <c:v>18.760000000000002</c:v>
                </c:pt>
                <c:pt idx="2">
                  <c:v>26.81</c:v>
                </c:pt>
                <c:pt idx="3">
                  <c:v>51.01</c:v>
                </c:pt>
                <c:pt idx="4">
                  <c:v>101.4</c:v>
                </c:pt>
                <c:pt idx="5">
                  <c:v>192.64</c:v>
                </c:pt>
                <c:pt idx="6">
                  <c:v>374.46</c:v>
                </c:pt>
                <c:pt idx="7">
                  <c:v>797.24</c:v>
                </c:pt>
                <c:pt idx="8">
                  <c:v>1572.83</c:v>
                </c:pt>
              </c:numCache>
            </c:numRef>
          </c:val>
        </c:ser>
        <c:ser>
          <c:idx val="1"/>
          <c:order val="1"/>
          <c:tx>
            <c:strRef>
              <c:f>'GTS(single thread)'!$B$14</c:f>
              <c:strCache>
                <c:ptCount val="1"/>
                <c:pt idx="0">
                  <c:v>2 hosts</c:v>
                </c:pt>
              </c:strCache>
            </c:strRef>
          </c:tx>
          <c:marker>
            <c:symbol val="none"/>
          </c:marker>
          <c:cat>
            <c:numRef>
              <c:f>'GTS(single thread)'!$B$16:$B$24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'GTS(single thread)'!$G$16:$G$24</c:f>
              <c:numCache>
                <c:formatCode>General</c:formatCode>
                <c:ptCount val="9"/>
                <c:pt idx="0">
                  <c:v>42.23</c:v>
                </c:pt>
                <c:pt idx="1">
                  <c:v>47.52</c:v>
                </c:pt>
                <c:pt idx="2">
                  <c:v>46.65</c:v>
                </c:pt>
                <c:pt idx="3">
                  <c:v>51.49</c:v>
                </c:pt>
                <c:pt idx="4">
                  <c:v>79.209999999999994</c:v>
                </c:pt>
                <c:pt idx="5">
                  <c:v>161.97999999999999</c:v>
                </c:pt>
                <c:pt idx="6">
                  <c:v>314.10000000000002</c:v>
                </c:pt>
                <c:pt idx="7">
                  <c:v>647.52</c:v>
                </c:pt>
                <c:pt idx="8">
                  <c:v>1313.28</c:v>
                </c:pt>
              </c:numCache>
            </c:numRef>
          </c:val>
        </c:ser>
        <c:marker val="1"/>
        <c:axId val="55087872"/>
        <c:axId val="55089408"/>
      </c:lineChart>
      <c:catAx>
        <c:axId val="55087872"/>
        <c:scaling>
          <c:orientation val="minMax"/>
        </c:scaling>
        <c:axPos val="b"/>
        <c:numFmt formatCode="General" sourceLinked="1"/>
        <c:tickLblPos val="nextTo"/>
        <c:crossAx val="55089408"/>
        <c:crosses val="autoZero"/>
        <c:auto val="1"/>
        <c:lblAlgn val="ctr"/>
        <c:lblOffset val="100"/>
      </c:catAx>
      <c:valAx>
        <c:axId val="55089408"/>
        <c:scaling>
          <c:orientation val="minMax"/>
        </c:scaling>
        <c:axPos val="l"/>
        <c:majorGridlines/>
        <c:numFmt formatCode="General" sourceLinked="1"/>
        <c:tickLblPos val="nextTo"/>
        <c:crossAx val="5508787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throughput</a:t>
            </a:r>
            <a:r>
              <a:rPr lang="en-US" sz="1800" b="1" i="0" u="none" strike="noStrike" baseline="0"/>
              <a:t>(2 threads)</a:t>
            </a:r>
            <a:endParaRPr lang="en-US" alt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'GTS(2 threads) '!$B$2</c:f>
              <c:strCache>
                <c:ptCount val="1"/>
                <c:pt idx="0">
                  <c:v>localhost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'GTS(2 threads) '!$F$4:$F$12</c:f>
              <c:numCache>
                <c:formatCode>General</c:formatCode>
                <c:ptCount val="9"/>
                <c:pt idx="0">
                  <c:v>57012.542759407072</c:v>
                </c:pt>
                <c:pt idx="1">
                  <c:v>84175.084175084179</c:v>
                </c:pt>
                <c:pt idx="2">
                  <c:v>163800.16380016381</c:v>
                </c:pt>
                <c:pt idx="3">
                  <c:v>288392.21341023792</c:v>
                </c:pt>
                <c:pt idx="4">
                  <c:v>284040.47576779692</c:v>
                </c:pt>
                <c:pt idx="5">
                  <c:v>312012.48049921996</c:v>
                </c:pt>
                <c:pt idx="6">
                  <c:v>337054.98209395411</c:v>
                </c:pt>
                <c:pt idx="7">
                  <c:v>347438.99459840939</c:v>
                </c:pt>
                <c:pt idx="8">
                  <c:v>334990.84009421617</c:v>
                </c:pt>
              </c:numCache>
            </c:numRef>
          </c:val>
        </c:ser>
        <c:ser>
          <c:idx val="1"/>
          <c:order val="1"/>
          <c:tx>
            <c:strRef>
              <c:f>'GTS(2 threads) '!$B$14</c:f>
              <c:strCache>
                <c:ptCount val="1"/>
                <c:pt idx="0">
                  <c:v>2 hosts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'GTS(2 threads) '!$F$16:$F$24</c:f>
              <c:numCache>
                <c:formatCode>General</c:formatCode>
                <c:ptCount val="9"/>
                <c:pt idx="0">
                  <c:v>20279.862096937741</c:v>
                </c:pt>
                <c:pt idx="1">
                  <c:v>38372.98541826554</c:v>
                </c:pt>
                <c:pt idx="2">
                  <c:v>74906.367041198508</c:v>
                </c:pt>
                <c:pt idx="3">
                  <c:v>138097.70412566891</c:v>
                </c:pt>
                <c:pt idx="4">
                  <c:v>177344.26956328974</c:v>
                </c:pt>
                <c:pt idx="5">
                  <c:v>181118.40615802581</c:v>
                </c:pt>
                <c:pt idx="6">
                  <c:v>212257.8933404086</c:v>
                </c:pt>
                <c:pt idx="7">
                  <c:v>186741.36321195145</c:v>
                </c:pt>
                <c:pt idx="8">
                  <c:v>196319.01840490798</c:v>
                </c:pt>
              </c:numCache>
            </c:numRef>
          </c:val>
        </c:ser>
        <c:marker val="1"/>
        <c:axId val="60021760"/>
        <c:axId val="63644416"/>
      </c:lineChart>
      <c:catAx>
        <c:axId val="60021760"/>
        <c:scaling>
          <c:orientation val="minMax"/>
        </c:scaling>
        <c:axPos val="b"/>
        <c:numFmt formatCode="General" sourceLinked="1"/>
        <c:tickLblPos val="nextTo"/>
        <c:crossAx val="63644416"/>
        <c:crosses val="autoZero"/>
        <c:auto val="1"/>
        <c:lblAlgn val="ctr"/>
        <c:lblOffset val="100"/>
      </c:catAx>
      <c:valAx>
        <c:axId val="63644416"/>
        <c:scaling>
          <c:orientation val="minMax"/>
        </c:scaling>
        <c:axPos val="l"/>
        <c:majorGridlines/>
        <c:numFmt formatCode="General" sourceLinked="1"/>
        <c:tickLblPos val="nextTo"/>
        <c:crossAx val="60021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</a:t>
            </a:r>
            <a:r>
              <a:rPr lang="en-US" altLang="en-US" baseline="0"/>
              <a:t> time</a:t>
            </a:r>
            <a:r>
              <a:rPr lang="en-US" sz="1800" b="1" i="0" u="none" strike="noStrike" baseline="0"/>
              <a:t>(2 threads)</a:t>
            </a:r>
            <a:endParaRPr lang="en-US" alt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'GTS(2 threads) '!$G$4:$G$12</c:f>
              <c:numCache>
                <c:formatCode>General</c:formatCode>
                <c:ptCount val="9"/>
                <c:pt idx="0">
                  <c:v>17.54</c:v>
                </c:pt>
                <c:pt idx="1">
                  <c:v>23.76</c:v>
                </c:pt>
                <c:pt idx="2">
                  <c:v>24.42</c:v>
                </c:pt>
                <c:pt idx="3">
                  <c:v>27.74</c:v>
                </c:pt>
                <c:pt idx="4">
                  <c:v>56.33</c:v>
                </c:pt>
                <c:pt idx="5">
                  <c:v>102.56</c:v>
                </c:pt>
                <c:pt idx="6">
                  <c:v>189.88</c:v>
                </c:pt>
                <c:pt idx="7">
                  <c:v>368.41</c:v>
                </c:pt>
                <c:pt idx="8">
                  <c:v>764.2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'GTS(2 threads) '!$G$16:$G$24</c:f>
              <c:numCache>
                <c:formatCode>General</c:formatCode>
                <c:ptCount val="9"/>
                <c:pt idx="0">
                  <c:v>49.31</c:v>
                </c:pt>
                <c:pt idx="1">
                  <c:v>52.12</c:v>
                </c:pt>
                <c:pt idx="2">
                  <c:v>53.4</c:v>
                </c:pt>
                <c:pt idx="3">
                  <c:v>57.93</c:v>
                </c:pt>
                <c:pt idx="4">
                  <c:v>90.22</c:v>
                </c:pt>
                <c:pt idx="5">
                  <c:v>176.68</c:v>
                </c:pt>
                <c:pt idx="6">
                  <c:v>301.52</c:v>
                </c:pt>
                <c:pt idx="7">
                  <c:v>685.44</c:v>
                </c:pt>
                <c:pt idx="8">
                  <c:v>1304</c:v>
                </c:pt>
              </c:numCache>
            </c:numRef>
          </c:val>
        </c:ser>
        <c:marker val="1"/>
        <c:axId val="63685760"/>
        <c:axId val="63687296"/>
      </c:lineChart>
      <c:catAx>
        <c:axId val="63685760"/>
        <c:scaling>
          <c:orientation val="minMax"/>
        </c:scaling>
        <c:axPos val="b"/>
        <c:numFmt formatCode="General" sourceLinked="1"/>
        <c:tickLblPos val="nextTo"/>
        <c:crossAx val="63687296"/>
        <c:crosses val="autoZero"/>
        <c:auto val="1"/>
        <c:lblAlgn val="ctr"/>
        <c:lblOffset val="100"/>
      </c:catAx>
      <c:valAx>
        <c:axId val="63687296"/>
        <c:scaling>
          <c:orientation val="minMax"/>
        </c:scaling>
        <c:axPos val="l"/>
        <c:majorGridlines/>
        <c:numFmt formatCode="General" sourceLinked="1"/>
        <c:tickLblPos val="nextTo"/>
        <c:crossAx val="63685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throughput</a:t>
            </a:r>
            <a:r>
              <a:rPr lang="en-US" sz="1800" b="1" i="0" u="none" strike="noStrike" baseline="0"/>
              <a:t>(4 threads)</a:t>
            </a:r>
            <a:endParaRPr lang="en-US" alt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'GTS(4 threads)'!$F$4:$F$12</c:f>
              <c:numCache>
                <c:formatCode>General</c:formatCode>
                <c:ptCount val="9"/>
                <c:pt idx="0">
                  <c:v>58754.406580493538</c:v>
                </c:pt>
                <c:pt idx="1">
                  <c:v>88967.971530249109</c:v>
                </c:pt>
                <c:pt idx="2">
                  <c:v>147819.66001478196</c:v>
                </c:pt>
                <c:pt idx="3">
                  <c:v>188102.51587114975</c:v>
                </c:pt>
                <c:pt idx="4">
                  <c:v>198955.48371051977</c:v>
                </c:pt>
                <c:pt idx="5">
                  <c:v>187485.35270681977</c:v>
                </c:pt>
                <c:pt idx="6">
                  <c:v>200350.61357375406</c:v>
                </c:pt>
                <c:pt idx="7">
                  <c:v>185784.57697722685</c:v>
                </c:pt>
                <c:pt idx="8">
                  <c:v>182299.82624547809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'GTS(4 threads)'!$F$16:$F$24</c:f>
              <c:numCache>
                <c:formatCode>General</c:formatCode>
                <c:ptCount val="9"/>
                <c:pt idx="0">
                  <c:v>19485.580670303974</c:v>
                </c:pt>
                <c:pt idx="1">
                  <c:v>36968.576709796675</c:v>
                </c:pt>
                <c:pt idx="2">
                  <c:v>74460.163812360392</c:v>
                </c:pt>
                <c:pt idx="3">
                  <c:v>130548.30287206266</c:v>
                </c:pt>
                <c:pt idx="4">
                  <c:v>144730.8909995477</c:v>
                </c:pt>
                <c:pt idx="5">
                  <c:v>141524.03697315467</c:v>
                </c:pt>
                <c:pt idx="6">
                  <c:v>145441.32351604401</c:v>
                </c:pt>
                <c:pt idx="7">
                  <c:v>145429.75629154121</c:v>
                </c:pt>
                <c:pt idx="8">
                  <c:v>137562.66893071894</c:v>
                </c:pt>
              </c:numCache>
            </c:numRef>
          </c:val>
        </c:ser>
        <c:marker val="1"/>
        <c:axId val="61099392"/>
        <c:axId val="61105280"/>
      </c:lineChart>
      <c:catAx>
        <c:axId val="61099392"/>
        <c:scaling>
          <c:orientation val="minMax"/>
        </c:scaling>
        <c:axPos val="b"/>
        <c:numFmt formatCode="General" sourceLinked="1"/>
        <c:tickLblPos val="nextTo"/>
        <c:crossAx val="61105280"/>
        <c:crosses val="autoZero"/>
        <c:auto val="1"/>
        <c:lblAlgn val="ctr"/>
        <c:lblOffset val="100"/>
      </c:catAx>
      <c:valAx>
        <c:axId val="61105280"/>
        <c:scaling>
          <c:orientation val="minMax"/>
        </c:scaling>
        <c:axPos val="l"/>
        <c:majorGridlines/>
        <c:numFmt formatCode="General" sourceLinked="1"/>
        <c:tickLblPos val="nextTo"/>
        <c:crossAx val="61099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</a:t>
            </a:r>
            <a:r>
              <a:rPr lang="en-US" altLang="en-US" baseline="0"/>
              <a:t> time</a:t>
            </a:r>
            <a:r>
              <a:rPr lang="en-US" sz="1800" b="1" i="0" u="none" strike="noStrike" baseline="0"/>
              <a:t>(4 threads)</a:t>
            </a:r>
            <a:endParaRPr lang="en-US" alt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'GTS(4 threads)'!$G$4:$G$12</c:f>
              <c:numCache>
                <c:formatCode>General</c:formatCode>
                <c:ptCount val="9"/>
                <c:pt idx="0">
                  <c:v>17.02</c:v>
                </c:pt>
                <c:pt idx="1">
                  <c:v>22.48</c:v>
                </c:pt>
                <c:pt idx="2">
                  <c:v>27.06</c:v>
                </c:pt>
                <c:pt idx="3">
                  <c:v>42.53</c:v>
                </c:pt>
                <c:pt idx="4">
                  <c:v>80.42</c:v>
                </c:pt>
                <c:pt idx="5">
                  <c:v>170.68</c:v>
                </c:pt>
                <c:pt idx="6">
                  <c:v>319.44</c:v>
                </c:pt>
                <c:pt idx="7">
                  <c:v>688.97</c:v>
                </c:pt>
                <c:pt idx="8">
                  <c:v>1404.28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cat>
            <c:multiLvlStrRef>
              <c:f>#REF!</c:f>
            </c:multiLvlStrRef>
          </c:cat>
          <c:val>
            <c:numRef>
              <c:f>'GTS(4 threads)'!$G$16:$G$24</c:f>
              <c:numCache>
                <c:formatCode>General</c:formatCode>
                <c:ptCount val="9"/>
                <c:pt idx="0">
                  <c:v>51.32</c:v>
                </c:pt>
                <c:pt idx="1">
                  <c:v>54.1</c:v>
                </c:pt>
                <c:pt idx="2">
                  <c:v>53.72</c:v>
                </c:pt>
                <c:pt idx="3">
                  <c:v>61.28</c:v>
                </c:pt>
                <c:pt idx="4">
                  <c:v>110.55</c:v>
                </c:pt>
                <c:pt idx="5">
                  <c:v>226.11</c:v>
                </c:pt>
                <c:pt idx="6">
                  <c:v>440.04</c:v>
                </c:pt>
                <c:pt idx="7">
                  <c:v>880.15</c:v>
                </c:pt>
                <c:pt idx="8">
                  <c:v>1860.97</c:v>
                </c:pt>
              </c:numCache>
            </c:numRef>
          </c:val>
        </c:ser>
        <c:marker val="1"/>
        <c:axId val="61130240"/>
        <c:axId val="61131776"/>
      </c:lineChart>
      <c:catAx>
        <c:axId val="61130240"/>
        <c:scaling>
          <c:orientation val="minMax"/>
        </c:scaling>
        <c:axPos val="b"/>
        <c:numFmt formatCode="General" sourceLinked="1"/>
        <c:tickLblPos val="nextTo"/>
        <c:crossAx val="61131776"/>
        <c:crosses val="autoZero"/>
        <c:auto val="1"/>
        <c:lblAlgn val="ctr"/>
        <c:lblOffset val="100"/>
      </c:catAx>
      <c:valAx>
        <c:axId val="61131776"/>
        <c:scaling>
          <c:orientation val="minMax"/>
        </c:scaling>
        <c:axPos val="l"/>
        <c:majorGridlines/>
        <c:numFmt formatCode="General" sourceLinked="1"/>
        <c:tickLblPos val="nextTo"/>
        <c:crossAx val="61130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throughout(single thread)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'GTS(single thread)'!$B$2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'GTS(single thread)'!$B$16:$B$23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'GTS(single thread)'!$F$4:$F$12</c:f>
              <c:numCache>
                <c:formatCode>General</c:formatCode>
                <c:ptCount val="9"/>
                <c:pt idx="0">
                  <c:v>82304.526748971199</c:v>
                </c:pt>
                <c:pt idx="1">
                  <c:v>106609.80810234541</c:v>
                </c:pt>
                <c:pt idx="2">
                  <c:v>149198.06042521447</c:v>
                </c:pt>
                <c:pt idx="3">
                  <c:v>156831.99372672025</c:v>
                </c:pt>
                <c:pt idx="4">
                  <c:v>157790.92702169626</c:v>
                </c:pt>
                <c:pt idx="5">
                  <c:v>166112.95681063124</c:v>
                </c:pt>
                <c:pt idx="6">
                  <c:v>170912.7810714095</c:v>
                </c:pt>
                <c:pt idx="7">
                  <c:v>160553.91099292558</c:v>
                </c:pt>
                <c:pt idx="8">
                  <c:v>162763.93507244901</c:v>
                </c:pt>
              </c:numCache>
            </c:numRef>
          </c:val>
        </c:ser>
        <c:ser>
          <c:idx val="1"/>
          <c:order val="1"/>
          <c:tx>
            <c:strRef>
              <c:f>'GTS(single thread)'!$B$14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'GTS(single thread)'!$B$16:$B$23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cat>
          <c:val>
            <c:numRef>
              <c:f>'GTS(single thread)'!$F$16:$F$24</c:f>
              <c:numCache>
                <c:formatCode>General</c:formatCode>
                <c:ptCount val="9"/>
                <c:pt idx="0">
                  <c:v>23679.848448969929</c:v>
                </c:pt>
                <c:pt idx="1">
                  <c:v>42087.54208754209</c:v>
                </c:pt>
                <c:pt idx="2">
                  <c:v>85744.908896034307</c:v>
                </c:pt>
                <c:pt idx="3">
                  <c:v>155369.97475237912</c:v>
                </c:pt>
                <c:pt idx="4">
                  <c:v>201994.69763918695</c:v>
                </c:pt>
                <c:pt idx="5">
                  <c:v>197555.25373502902</c:v>
                </c:pt>
                <c:pt idx="6">
                  <c:v>203756.76536134988</c:v>
                </c:pt>
                <c:pt idx="7">
                  <c:v>197677.29182110206</c:v>
                </c:pt>
                <c:pt idx="8">
                  <c:v>194931.7738791423</c:v>
                </c:pt>
              </c:numCache>
            </c:numRef>
          </c:val>
        </c:ser>
        <c:marker val="1"/>
        <c:axId val="63774720"/>
        <c:axId val="63776256"/>
      </c:lineChart>
      <c:catAx>
        <c:axId val="63774720"/>
        <c:scaling>
          <c:orientation val="minMax"/>
        </c:scaling>
        <c:axPos val="b"/>
        <c:numFmt formatCode="General" sourceLinked="1"/>
        <c:tickLblPos val="nextTo"/>
        <c:crossAx val="63776256"/>
        <c:crosses val="autoZero"/>
        <c:auto val="1"/>
        <c:lblAlgn val="ctr"/>
        <c:lblOffset val="100"/>
      </c:catAx>
      <c:valAx>
        <c:axId val="63776256"/>
        <c:scaling>
          <c:orientation val="minMax"/>
        </c:scaling>
        <c:axPos val="l"/>
        <c:majorGridlines/>
        <c:numFmt formatCode="General" sourceLinked="1"/>
        <c:tickLblPos val="nextTo"/>
        <c:crossAx val="637747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 time</a:t>
            </a:r>
            <a:r>
              <a:rPr lang="en-US" sz="1800" b="1" i="0" u="none" strike="noStrike" baseline="0"/>
              <a:t>(single thread)</a:t>
            </a:r>
            <a:endParaRPr lang="en-US" alt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'GTS(single thread)'!$B$2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'GTS(single thread)'!$B$16:$B$24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'GTS(single thread)'!$G$4:$G$12</c:f>
              <c:numCache>
                <c:formatCode>General</c:formatCode>
                <c:ptCount val="9"/>
                <c:pt idx="0">
                  <c:v>12.15</c:v>
                </c:pt>
                <c:pt idx="1">
                  <c:v>18.760000000000002</c:v>
                </c:pt>
                <c:pt idx="2">
                  <c:v>26.81</c:v>
                </c:pt>
                <c:pt idx="3">
                  <c:v>51.01</c:v>
                </c:pt>
                <c:pt idx="4">
                  <c:v>101.4</c:v>
                </c:pt>
                <c:pt idx="5">
                  <c:v>192.64</c:v>
                </c:pt>
                <c:pt idx="6">
                  <c:v>374.46</c:v>
                </c:pt>
                <c:pt idx="7">
                  <c:v>797.24</c:v>
                </c:pt>
                <c:pt idx="8">
                  <c:v>1572.83</c:v>
                </c:pt>
              </c:numCache>
            </c:numRef>
          </c:val>
        </c:ser>
        <c:ser>
          <c:idx val="1"/>
          <c:order val="1"/>
          <c:tx>
            <c:strRef>
              <c:f>'GTS(single thread)'!$B$14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'GTS(single thread)'!$B$16:$B$24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'GTS(single thread)'!$G$16:$G$24</c:f>
              <c:numCache>
                <c:formatCode>General</c:formatCode>
                <c:ptCount val="9"/>
                <c:pt idx="0">
                  <c:v>42.23</c:v>
                </c:pt>
                <c:pt idx="1">
                  <c:v>47.52</c:v>
                </c:pt>
                <c:pt idx="2">
                  <c:v>46.65</c:v>
                </c:pt>
                <c:pt idx="3">
                  <c:v>51.49</c:v>
                </c:pt>
                <c:pt idx="4">
                  <c:v>79.209999999999994</c:v>
                </c:pt>
                <c:pt idx="5">
                  <c:v>161.97999999999999</c:v>
                </c:pt>
                <c:pt idx="6">
                  <c:v>314.10000000000002</c:v>
                </c:pt>
                <c:pt idx="7">
                  <c:v>647.52</c:v>
                </c:pt>
                <c:pt idx="8">
                  <c:v>1313.28</c:v>
                </c:pt>
              </c:numCache>
            </c:numRef>
          </c:val>
        </c:ser>
        <c:marker val="1"/>
        <c:axId val="63797120"/>
        <c:axId val="63798656"/>
      </c:lineChart>
      <c:catAx>
        <c:axId val="63797120"/>
        <c:scaling>
          <c:orientation val="minMax"/>
        </c:scaling>
        <c:axPos val="b"/>
        <c:numFmt formatCode="General" sourceLinked="1"/>
        <c:tickLblPos val="nextTo"/>
        <c:crossAx val="63798656"/>
        <c:crosses val="autoZero"/>
        <c:auto val="1"/>
        <c:lblAlgn val="ctr"/>
        <c:lblOffset val="100"/>
      </c:catAx>
      <c:valAx>
        <c:axId val="63798656"/>
        <c:scaling>
          <c:orientation val="minMax"/>
        </c:scaling>
        <c:axPos val="l"/>
        <c:majorGridlines/>
        <c:numFmt formatCode="General" sourceLinked="1"/>
        <c:tickLblPos val="nextTo"/>
        <c:crossAx val="637971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throughput</a:t>
            </a:r>
            <a:r>
              <a:rPr lang="en-US" sz="1800" b="1" i="0" u="none" strike="noStrike" baseline="0"/>
              <a:t>(2 threads)</a:t>
            </a:r>
            <a:endParaRPr lang="en-US" altLang="en-US"/>
          </a:p>
        </c:rich>
      </c:tx>
    </c:title>
    <c:plotArea>
      <c:layout/>
      <c:lineChart>
        <c:grouping val="standard"/>
        <c:ser>
          <c:idx val="2"/>
          <c:order val="0"/>
          <c:tx>
            <c:strRef>
              <c:f>'GTS(2 threads) 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'GTS(2 threads) 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'GTS(2 threads) '!$F$4:$F$12</c:f>
              <c:numCache>
                <c:formatCode>General</c:formatCode>
                <c:ptCount val="9"/>
                <c:pt idx="0">
                  <c:v>57012.542759407072</c:v>
                </c:pt>
                <c:pt idx="1">
                  <c:v>84175.084175084179</c:v>
                </c:pt>
                <c:pt idx="2">
                  <c:v>163800.16380016381</c:v>
                </c:pt>
                <c:pt idx="3">
                  <c:v>288392.21341023792</c:v>
                </c:pt>
                <c:pt idx="4">
                  <c:v>284040.47576779692</c:v>
                </c:pt>
                <c:pt idx="5">
                  <c:v>312012.48049921996</c:v>
                </c:pt>
                <c:pt idx="6">
                  <c:v>337054.98209395411</c:v>
                </c:pt>
                <c:pt idx="7">
                  <c:v>347438.99459840939</c:v>
                </c:pt>
                <c:pt idx="8">
                  <c:v>334990.84009421617</c:v>
                </c:pt>
              </c:numCache>
            </c:numRef>
          </c:val>
        </c:ser>
        <c:ser>
          <c:idx val="0"/>
          <c:order val="1"/>
          <c:tx>
            <c:strRef>
              <c:f>'GTS(2 threads) 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'GTS(2 threads) 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'GTS(2 threads) '!$F$16:$F$24</c:f>
              <c:numCache>
                <c:formatCode>General</c:formatCode>
                <c:ptCount val="9"/>
                <c:pt idx="0">
                  <c:v>20279.862096937741</c:v>
                </c:pt>
                <c:pt idx="1">
                  <c:v>38372.98541826554</c:v>
                </c:pt>
                <c:pt idx="2">
                  <c:v>74906.367041198508</c:v>
                </c:pt>
                <c:pt idx="3">
                  <c:v>138097.70412566891</c:v>
                </c:pt>
                <c:pt idx="4">
                  <c:v>177344.26956328974</c:v>
                </c:pt>
                <c:pt idx="5">
                  <c:v>181118.40615802581</c:v>
                </c:pt>
                <c:pt idx="6">
                  <c:v>212257.8933404086</c:v>
                </c:pt>
                <c:pt idx="7">
                  <c:v>186741.36321195145</c:v>
                </c:pt>
                <c:pt idx="8">
                  <c:v>196319.01840490798</c:v>
                </c:pt>
              </c:numCache>
            </c:numRef>
          </c:val>
        </c:ser>
        <c:marker val="1"/>
        <c:axId val="64163840"/>
        <c:axId val="64165376"/>
      </c:lineChart>
      <c:catAx>
        <c:axId val="64163840"/>
        <c:scaling>
          <c:orientation val="minMax"/>
        </c:scaling>
        <c:axPos val="b"/>
        <c:numFmt formatCode="General" sourceLinked="1"/>
        <c:tickLblPos val="nextTo"/>
        <c:crossAx val="64165376"/>
        <c:crosses val="autoZero"/>
        <c:auto val="1"/>
        <c:lblAlgn val="ctr"/>
        <c:lblOffset val="100"/>
      </c:catAx>
      <c:valAx>
        <c:axId val="64165376"/>
        <c:scaling>
          <c:orientation val="minMax"/>
        </c:scaling>
        <c:axPos val="l"/>
        <c:majorGridlines/>
        <c:numFmt formatCode="General" sourceLinked="1"/>
        <c:tickLblPos val="nextTo"/>
        <c:crossAx val="641638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</a:t>
            </a:r>
            <a:r>
              <a:rPr lang="en-US" altLang="en-US" baseline="0"/>
              <a:t> time</a:t>
            </a:r>
            <a:r>
              <a:rPr lang="en-US" sz="1800" b="1" i="0" u="none" strike="noStrike" baseline="0"/>
              <a:t>(2 threads)</a:t>
            </a:r>
            <a:endParaRPr lang="en-US" alt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'GTS(2 threads) 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'GTS(2 threads) 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'GTS(2 threads) '!$G$4:$G$12</c:f>
              <c:numCache>
                <c:formatCode>General</c:formatCode>
                <c:ptCount val="9"/>
                <c:pt idx="0">
                  <c:v>17.54</c:v>
                </c:pt>
                <c:pt idx="1">
                  <c:v>23.76</c:v>
                </c:pt>
                <c:pt idx="2">
                  <c:v>24.42</c:v>
                </c:pt>
                <c:pt idx="3">
                  <c:v>27.74</c:v>
                </c:pt>
                <c:pt idx="4">
                  <c:v>56.33</c:v>
                </c:pt>
                <c:pt idx="5">
                  <c:v>102.56</c:v>
                </c:pt>
                <c:pt idx="6">
                  <c:v>189.88</c:v>
                </c:pt>
                <c:pt idx="7">
                  <c:v>368.41</c:v>
                </c:pt>
                <c:pt idx="8">
                  <c:v>764.2</c:v>
                </c:pt>
              </c:numCache>
            </c:numRef>
          </c:val>
        </c:ser>
        <c:ser>
          <c:idx val="1"/>
          <c:order val="1"/>
          <c:tx>
            <c:strRef>
              <c:f>'GTS(2 threads) 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'GTS(2 threads) 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'GTS(2 threads) '!$G$16:$G$24</c:f>
              <c:numCache>
                <c:formatCode>General</c:formatCode>
                <c:ptCount val="9"/>
                <c:pt idx="0">
                  <c:v>49.31</c:v>
                </c:pt>
                <c:pt idx="1">
                  <c:v>52.12</c:v>
                </c:pt>
                <c:pt idx="2">
                  <c:v>53.4</c:v>
                </c:pt>
                <c:pt idx="3">
                  <c:v>57.93</c:v>
                </c:pt>
                <c:pt idx="4">
                  <c:v>90.22</c:v>
                </c:pt>
                <c:pt idx="5">
                  <c:v>176.68</c:v>
                </c:pt>
                <c:pt idx="6">
                  <c:v>301.52</c:v>
                </c:pt>
                <c:pt idx="7">
                  <c:v>685.44</c:v>
                </c:pt>
                <c:pt idx="8">
                  <c:v>1304</c:v>
                </c:pt>
              </c:numCache>
            </c:numRef>
          </c:val>
        </c:ser>
        <c:marker val="1"/>
        <c:axId val="64186240"/>
        <c:axId val="64187776"/>
      </c:lineChart>
      <c:catAx>
        <c:axId val="64186240"/>
        <c:scaling>
          <c:orientation val="minMax"/>
        </c:scaling>
        <c:axPos val="b"/>
        <c:numFmt formatCode="General" sourceLinked="1"/>
        <c:tickLblPos val="nextTo"/>
        <c:crossAx val="64187776"/>
        <c:crosses val="autoZero"/>
        <c:auto val="1"/>
        <c:lblAlgn val="ctr"/>
        <c:lblOffset val="100"/>
      </c:catAx>
      <c:valAx>
        <c:axId val="64187776"/>
        <c:scaling>
          <c:orientation val="minMax"/>
        </c:scaling>
        <c:axPos val="l"/>
        <c:majorGridlines/>
        <c:numFmt formatCode="General" sourceLinked="1"/>
        <c:tickLblPos val="nextTo"/>
        <c:crossAx val="641862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throughput</a:t>
            </a:r>
            <a:r>
              <a:rPr lang="en-US" sz="1800" b="1" i="0" u="none" strike="noStrike" baseline="0"/>
              <a:t>(4 threads)</a:t>
            </a:r>
            <a:endParaRPr lang="en-US" alt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'GTS(4 threads)'!$B$2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'GTS(4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'GTS(4 threads)'!$F$4:$F$12</c:f>
              <c:numCache>
                <c:formatCode>General</c:formatCode>
                <c:ptCount val="9"/>
                <c:pt idx="0">
                  <c:v>58754.406580493538</c:v>
                </c:pt>
                <c:pt idx="1">
                  <c:v>88967.971530249109</c:v>
                </c:pt>
                <c:pt idx="2">
                  <c:v>147819.66001478196</c:v>
                </c:pt>
                <c:pt idx="3">
                  <c:v>188102.51587114975</c:v>
                </c:pt>
                <c:pt idx="4">
                  <c:v>198955.48371051977</c:v>
                </c:pt>
                <c:pt idx="5">
                  <c:v>187485.35270681977</c:v>
                </c:pt>
                <c:pt idx="6">
                  <c:v>200350.61357375406</c:v>
                </c:pt>
                <c:pt idx="7">
                  <c:v>185784.57697722685</c:v>
                </c:pt>
                <c:pt idx="8">
                  <c:v>182299.82624547809</c:v>
                </c:pt>
              </c:numCache>
            </c:numRef>
          </c:val>
        </c:ser>
        <c:ser>
          <c:idx val="1"/>
          <c:order val="1"/>
          <c:tx>
            <c:strRef>
              <c:f>'GTS(4 threads)'!$B$14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'GTS(4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'GTS(4 threads)'!$F$16:$F$24</c:f>
              <c:numCache>
                <c:formatCode>General</c:formatCode>
                <c:ptCount val="9"/>
                <c:pt idx="0">
                  <c:v>19485.580670303974</c:v>
                </c:pt>
                <c:pt idx="1">
                  <c:v>36968.576709796675</c:v>
                </c:pt>
                <c:pt idx="2">
                  <c:v>74460.163812360392</c:v>
                </c:pt>
                <c:pt idx="3">
                  <c:v>130548.30287206266</c:v>
                </c:pt>
                <c:pt idx="4">
                  <c:v>144730.8909995477</c:v>
                </c:pt>
                <c:pt idx="5">
                  <c:v>141524.03697315467</c:v>
                </c:pt>
                <c:pt idx="6">
                  <c:v>145441.32351604401</c:v>
                </c:pt>
                <c:pt idx="7">
                  <c:v>145429.75629154121</c:v>
                </c:pt>
                <c:pt idx="8">
                  <c:v>137562.66893071894</c:v>
                </c:pt>
              </c:numCache>
            </c:numRef>
          </c:val>
        </c:ser>
        <c:marker val="1"/>
        <c:axId val="64765952"/>
        <c:axId val="64767488"/>
      </c:lineChart>
      <c:catAx>
        <c:axId val="64765952"/>
        <c:scaling>
          <c:orientation val="minMax"/>
        </c:scaling>
        <c:axPos val="b"/>
        <c:numFmt formatCode="General" sourceLinked="1"/>
        <c:tickLblPos val="nextTo"/>
        <c:crossAx val="64767488"/>
        <c:crosses val="autoZero"/>
        <c:auto val="1"/>
        <c:lblAlgn val="ctr"/>
        <c:lblOffset val="100"/>
      </c:catAx>
      <c:valAx>
        <c:axId val="64767488"/>
        <c:scaling>
          <c:orientation val="minMax"/>
        </c:scaling>
        <c:axPos val="l"/>
        <c:majorGridlines/>
        <c:numFmt formatCode="General" sourceLinked="1"/>
        <c:tickLblPos val="nextTo"/>
        <c:crossAx val="6476595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</a:t>
            </a:r>
            <a:r>
              <a:rPr lang="en-US" altLang="en-US" baseline="0"/>
              <a:t> time</a:t>
            </a:r>
            <a:r>
              <a:rPr lang="en-US" sz="1800" b="1" i="0" u="none" strike="noStrike" baseline="0"/>
              <a:t>(4 threads)</a:t>
            </a:r>
            <a:endParaRPr lang="en-US" alt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'GTS(4 threads)'!$B$2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'GTS(4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'GTS(4 threads)'!$G$4:$G$12</c:f>
              <c:numCache>
                <c:formatCode>General</c:formatCode>
                <c:ptCount val="9"/>
                <c:pt idx="0">
                  <c:v>17.02</c:v>
                </c:pt>
                <c:pt idx="1">
                  <c:v>22.48</c:v>
                </c:pt>
                <c:pt idx="2">
                  <c:v>27.06</c:v>
                </c:pt>
                <c:pt idx="3">
                  <c:v>42.53</c:v>
                </c:pt>
                <c:pt idx="4">
                  <c:v>80.42</c:v>
                </c:pt>
                <c:pt idx="5">
                  <c:v>170.68</c:v>
                </c:pt>
                <c:pt idx="6">
                  <c:v>319.44</c:v>
                </c:pt>
                <c:pt idx="7">
                  <c:v>688.97</c:v>
                </c:pt>
                <c:pt idx="8">
                  <c:v>1404.28</c:v>
                </c:pt>
              </c:numCache>
            </c:numRef>
          </c:val>
        </c:ser>
        <c:ser>
          <c:idx val="1"/>
          <c:order val="1"/>
          <c:tx>
            <c:strRef>
              <c:f>'GTS(4 threads)'!$B$14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'GTS(4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'GTS(4 threads)'!$G$16:$G$24</c:f>
              <c:numCache>
                <c:formatCode>General</c:formatCode>
                <c:ptCount val="9"/>
                <c:pt idx="0">
                  <c:v>51.32</c:v>
                </c:pt>
                <c:pt idx="1">
                  <c:v>54.1</c:v>
                </c:pt>
                <c:pt idx="2">
                  <c:v>53.72</c:v>
                </c:pt>
                <c:pt idx="3">
                  <c:v>61.28</c:v>
                </c:pt>
                <c:pt idx="4">
                  <c:v>110.55</c:v>
                </c:pt>
                <c:pt idx="5">
                  <c:v>226.11</c:v>
                </c:pt>
                <c:pt idx="6">
                  <c:v>440.04</c:v>
                </c:pt>
                <c:pt idx="7">
                  <c:v>880.15</c:v>
                </c:pt>
                <c:pt idx="8">
                  <c:v>1860.97</c:v>
                </c:pt>
              </c:numCache>
            </c:numRef>
          </c:val>
        </c:ser>
        <c:marker val="1"/>
        <c:axId val="64796544"/>
        <c:axId val="64798080"/>
      </c:lineChart>
      <c:catAx>
        <c:axId val="64796544"/>
        <c:scaling>
          <c:orientation val="minMax"/>
        </c:scaling>
        <c:axPos val="b"/>
        <c:numFmt formatCode="General" sourceLinked="1"/>
        <c:tickLblPos val="nextTo"/>
        <c:crossAx val="64798080"/>
        <c:crosses val="autoZero"/>
        <c:auto val="1"/>
        <c:lblAlgn val="ctr"/>
        <c:lblOffset val="100"/>
      </c:catAx>
      <c:valAx>
        <c:axId val="64798080"/>
        <c:scaling>
          <c:orientation val="minMax"/>
        </c:scaling>
        <c:axPos val="l"/>
        <c:majorGridlines/>
        <c:numFmt formatCode="General" sourceLinked="1"/>
        <c:tickLblPos val="nextTo"/>
        <c:crossAx val="647965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throughput</a:t>
            </a:r>
            <a:r>
              <a:rPr lang="en-US" sz="1800" b="1" i="0" u="none" strike="noStrike" baseline="0"/>
              <a:t>(2 threads)</a:t>
            </a:r>
            <a:endParaRPr lang="en-US" alt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'Sequence(2 threads)'!$B$2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'Sequence(2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'Sequence(2 threads)'!$F$4:$F$12</c:f>
              <c:numCache>
                <c:formatCode>General</c:formatCode>
                <c:ptCount val="9"/>
                <c:pt idx="0">
                  <c:v>28105.677346824061</c:v>
                </c:pt>
                <c:pt idx="1">
                  <c:v>56609.114067364841</c:v>
                </c:pt>
                <c:pt idx="2">
                  <c:v>108459.86984815619</c:v>
                </c:pt>
                <c:pt idx="3">
                  <c:v>107991.36069114471</c:v>
                </c:pt>
                <c:pt idx="4">
                  <c:v>117001.8281535649</c:v>
                </c:pt>
                <c:pt idx="5">
                  <c:v>112261.00684090512</c:v>
                </c:pt>
                <c:pt idx="6">
                  <c:v>105706.49929804278</c:v>
                </c:pt>
                <c:pt idx="7">
                  <c:v>107092.35879286833</c:v>
                </c:pt>
                <c:pt idx="8">
                  <c:v>114962.65958927793</c:v>
                </c:pt>
              </c:numCache>
            </c:numRef>
          </c:val>
        </c:ser>
        <c:ser>
          <c:idx val="1"/>
          <c:order val="1"/>
          <c:tx>
            <c:strRef>
              <c:f>'Sequence(2 threads)'!$B$14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'Sequence(2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'Sequence(2 threads)'!$F$16:$F$24</c:f>
              <c:numCache>
                <c:formatCode>General</c:formatCode>
                <c:ptCount val="9"/>
                <c:pt idx="0">
                  <c:v>11661.807580174926</c:v>
                </c:pt>
                <c:pt idx="1">
                  <c:v>20881.186051367717</c:v>
                </c:pt>
                <c:pt idx="2">
                  <c:v>39304.313648422911</c:v>
                </c:pt>
                <c:pt idx="3">
                  <c:v>81259.522600304714</c:v>
                </c:pt>
                <c:pt idx="4">
                  <c:v>124746.60845158271</c:v>
                </c:pt>
                <c:pt idx="5">
                  <c:v>134753.86364593421</c:v>
                </c:pt>
                <c:pt idx="6">
                  <c:v>137033.23055841043</c:v>
                </c:pt>
                <c:pt idx="7">
                  <c:v>135760.04412201434</c:v>
                </c:pt>
                <c:pt idx="8">
                  <c:v>137639.58858666723</c:v>
                </c:pt>
              </c:numCache>
            </c:numRef>
          </c:val>
        </c:ser>
        <c:marker val="1"/>
        <c:axId val="64135552"/>
        <c:axId val="64137088"/>
      </c:lineChart>
      <c:catAx>
        <c:axId val="64135552"/>
        <c:scaling>
          <c:orientation val="minMax"/>
        </c:scaling>
        <c:axPos val="b"/>
        <c:numFmt formatCode="General" sourceLinked="1"/>
        <c:tickLblPos val="nextTo"/>
        <c:crossAx val="64137088"/>
        <c:crosses val="autoZero"/>
        <c:auto val="1"/>
        <c:lblAlgn val="ctr"/>
        <c:lblOffset val="100"/>
      </c:catAx>
      <c:valAx>
        <c:axId val="64137088"/>
        <c:scaling>
          <c:orientation val="minMax"/>
        </c:scaling>
        <c:axPos val="l"/>
        <c:majorGridlines/>
        <c:numFmt formatCode="General" sourceLinked="1"/>
        <c:tickLblPos val="nextTo"/>
        <c:crossAx val="641355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en-US"/>
              <a:t>response</a:t>
            </a:r>
            <a:r>
              <a:rPr lang="en-US" altLang="en-US" baseline="0"/>
              <a:t> time</a:t>
            </a:r>
            <a:r>
              <a:rPr lang="en-US" sz="1800" b="1" i="0" u="none" strike="noStrike" baseline="0"/>
              <a:t>(2 threads)</a:t>
            </a:r>
            <a:endParaRPr lang="en-US" alt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'Sequence(2 threads)'!$B$2</c:f>
              <c:strCache>
                <c:ptCount val="1"/>
                <c:pt idx="0">
                  <c:v>localhost</c:v>
                </c:pt>
              </c:strCache>
            </c:strRef>
          </c:tx>
          <c:cat>
            <c:numRef>
              <c:f>'Sequence(2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'Sequence(2 threads)'!$G$4:$G$12</c:f>
              <c:numCache>
                <c:formatCode>General</c:formatCode>
                <c:ptCount val="9"/>
                <c:pt idx="0">
                  <c:v>35.58</c:v>
                </c:pt>
                <c:pt idx="1">
                  <c:v>35.33</c:v>
                </c:pt>
                <c:pt idx="2">
                  <c:v>36.880000000000003</c:v>
                </c:pt>
                <c:pt idx="3">
                  <c:v>74.08</c:v>
                </c:pt>
                <c:pt idx="4">
                  <c:v>136.75</c:v>
                </c:pt>
                <c:pt idx="5">
                  <c:v>285.05</c:v>
                </c:pt>
                <c:pt idx="6">
                  <c:v>605.45000000000005</c:v>
                </c:pt>
                <c:pt idx="7">
                  <c:v>1195.23</c:v>
                </c:pt>
                <c:pt idx="8">
                  <c:v>2226.81</c:v>
                </c:pt>
              </c:numCache>
            </c:numRef>
          </c:val>
        </c:ser>
        <c:ser>
          <c:idx val="1"/>
          <c:order val="1"/>
          <c:tx>
            <c:strRef>
              <c:f>'Sequence(2 threads)'!$B$14</c:f>
              <c:strCache>
                <c:ptCount val="1"/>
                <c:pt idx="0">
                  <c:v>2 hosts</c:v>
                </c:pt>
              </c:strCache>
            </c:strRef>
          </c:tx>
          <c:cat>
            <c:numRef>
              <c:f>'Sequence(2 threads)'!$B$4:$B$12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cat>
          <c:val>
            <c:numRef>
              <c:f>'Sequence(2 threads)'!$G$16:$G$24</c:f>
              <c:numCache>
                <c:formatCode>General</c:formatCode>
                <c:ptCount val="9"/>
                <c:pt idx="0">
                  <c:v>85.75</c:v>
                </c:pt>
                <c:pt idx="1">
                  <c:v>95.78</c:v>
                </c:pt>
                <c:pt idx="2">
                  <c:v>101.77</c:v>
                </c:pt>
                <c:pt idx="3">
                  <c:v>98.45</c:v>
                </c:pt>
                <c:pt idx="4">
                  <c:v>128.26</c:v>
                </c:pt>
                <c:pt idx="5">
                  <c:v>237.47</c:v>
                </c:pt>
                <c:pt idx="6">
                  <c:v>467.04</c:v>
                </c:pt>
                <c:pt idx="7">
                  <c:v>942.84</c:v>
                </c:pt>
                <c:pt idx="8">
                  <c:v>1859.93</c:v>
                </c:pt>
              </c:numCache>
            </c:numRef>
          </c:val>
        </c:ser>
        <c:marker val="1"/>
        <c:axId val="64149760"/>
        <c:axId val="64892928"/>
      </c:lineChart>
      <c:catAx>
        <c:axId val="64149760"/>
        <c:scaling>
          <c:orientation val="minMax"/>
        </c:scaling>
        <c:axPos val="b"/>
        <c:numFmt formatCode="General" sourceLinked="1"/>
        <c:tickLblPos val="nextTo"/>
        <c:crossAx val="64892928"/>
        <c:crosses val="autoZero"/>
        <c:auto val="1"/>
        <c:lblAlgn val="ctr"/>
        <c:lblOffset val="100"/>
      </c:catAx>
      <c:valAx>
        <c:axId val="64892928"/>
        <c:scaling>
          <c:orientation val="minMax"/>
        </c:scaling>
        <c:axPos val="l"/>
        <c:majorGridlines/>
        <c:numFmt formatCode="General" sourceLinked="1"/>
        <c:tickLblPos val="nextTo"/>
        <c:crossAx val="64149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2</xdr:row>
      <xdr:rowOff>57150</xdr:rowOff>
    </xdr:from>
    <xdr:to>
      <xdr:col>14</xdr:col>
      <xdr:colOff>104775</xdr:colOff>
      <xdr:row>19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20</xdr:row>
      <xdr:rowOff>66675</xdr:rowOff>
    </xdr:from>
    <xdr:to>
      <xdr:col>14</xdr:col>
      <xdr:colOff>38100</xdr:colOff>
      <xdr:row>36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2</xdr:row>
      <xdr:rowOff>38100</xdr:rowOff>
    </xdr:from>
    <xdr:to>
      <xdr:col>14</xdr:col>
      <xdr:colOff>419100</xdr:colOff>
      <xdr:row>18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142875</xdr:rowOff>
    </xdr:from>
    <xdr:to>
      <xdr:col>14</xdr:col>
      <xdr:colOff>457200</xdr:colOff>
      <xdr:row>35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2</xdr:row>
      <xdr:rowOff>38100</xdr:rowOff>
    </xdr:from>
    <xdr:to>
      <xdr:col>14</xdr:col>
      <xdr:colOff>419100</xdr:colOff>
      <xdr:row>18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142875</xdr:rowOff>
    </xdr:from>
    <xdr:to>
      <xdr:col>14</xdr:col>
      <xdr:colOff>457200</xdr:colOff>
      <xdr:row>35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7</xdr:col>
      <xdr:colOff>457200</xdr:colOff>
      <xdr:row>19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19</xdr:row>
      <xdr:rowOff>152400</xdr:rowOff>
    </xdr:from>
    <xdr:to>
      <xdr:col>7</xdr:col>
      <xdr:colOff>466725</xdr:colOff>
      <xdr:row>35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1</xdr:row>
      <xdr:rowOff>161925</xdr:rowOff>
    </xdr:from>
    <xdr:to>
      <xdr:col>14</xdr:col>
      <xdr:colOff>495300</xdr:colOff>
      <xdr:row>19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19</xdr:row>
      <xdr:rowOff>161925</xdr:rowOff>
    </xdr:from>
    <xdr:to>
      <xdr:col>14</xdr:col>
      <xdr:colOff>466725</xdr:colOff>
      <xdr:row>35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2</xdr:row>
      <xdr:rowOff>28574</xdr:rowOff>
    </xdr:from>
    <xdr:to>
      <xdr:col>21</xdr:col>
      <xdr:colOff>476250</xdr:colOff>
      <xdr:row>18</xdr:row>
      <xdr:rowOff>152399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19</xdr:row>
      <xdr:rowOff>161925</xdr:rowOff>
    </xdr:from>
    <xdr:to>
      <xdr:col>21</xdr:col>
      <xdr:colOff>476250</xdr:colOff>
      <xdr:row>35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2</xdr:row>
      <xdr:rowOff>0</xdr:rowOff>
    </xdr:from>
    <xdr:to>
      <xdr:col>14</xdr:col>
      <xdr:colOff>266700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19</xdr:row>
      <xdr:rowOff>19050</xdr:rowOff>
    </xdr:from>
    <xdr:to>
      <xdr:col>14</xdr:col>
      <xdr:colOff>285750</xdr:colOff>
      <xdr:row>35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24"/>
  <sheetViews>
    <sheetView workbookViewId="0">
      <selection activeCell="C32" sqref="C32"/>
    </sheetView>
  </sheetViews>
  <sheetFormatPr defaultRowHeight="13.5"/>
  <cols>
    <col min="3" max="4" width="22.875" customWidth="1"/>
    <col min="5" max="5" width="11.875" customWidth="1"/>
    <col min="6" max="6" width="18.375" customWidth="1"/>
    <col min="7" max="7" width="23.75" customWidth="1"/>
  </cols>
  <sheetData>
    <row r="2" spans="2:7">
      <c r="B2" t="s">
        <v>2</v>
      </c>
    </row>
    <row r="3" spans="2:7">
      <c r="B3" s="1" t="s">
        <v>6</v>
      </c>
      <c r="C3" s="1" t="s">
        <v>4</v>
      </c>
      <c r="D3" s="1" t="s">
        <v>5</v>
      </c>
      <c r="E3" s="1" t="s">
        <v>0</v>
      </c>
      <c r="F3" s="1" t="s">
        <v>1</v>
      </c>
      <c r="G3" s="1" t="s">
        <v>7</v>
      </c>
    </row>
    <row r="4" spans="2:7">
      <c r="B4">
        <v>1</v>
      </c>
      <c r="C4">
        <v>100000</v>
      </c>
      <c r="D4">
        <f>B4*C4</f>
        <v>100000</v>
      </c>
      <c r="E4">
        <v>1215</v>
      </c>
      <c r="F4">
        <f>D4/E4*1000</f>
        <v>82304.526748971199</v>
      </c>
      <c r="G4">
        <f>E4*1000/100000</f>
        <v>12.15</v>
      </c>
    </row>
    <row r="5" spans="2:7">
      <c r="B5">
        <v>2</v>
      </c>
      <c r="C5">
        <v>100000</v>
      </c>
      <c r="D5">
        <f t="shared" ref="D5:D12" si="0">B5*C5</f>
        <v>200000</v>
      </c>
      <c r="E5">
        <v>1876</v>
      </c>
      <c r="F5">
        <f t="shared" ref="F5:F12" si="1">D5/E5*1000</f>
        <v>106609.80810234541</v>
      </c>
      <c r="G5">
        <f t="shared" ref="G5:G12" si="2">E5*1000/100000</f>
        <v>18.760000000000002</v>
      </c>
    </row>
    <row r="6" spans="2:7">
      <c r="B6">
        <v>4</v>
      </c>
      <c r="C6">
        <v>100000</v>
      </c>
      <c r="D6">
        <f t="shared" si="0"/>
        <v>400000</v>
      </c>
      <c r="E6">
        <v>2681</v>
      </c>
      <c r="F6">
        <f t="shared" si="1"/>
        <v>149198.06042521447</v>
      </c>
      <c r="G6">
        <f t="shared" si="2"/>
        <v>26.81</v>
      </c>
    </row>
    <row r="7" spans="2:7">
      <c r="B7">
        <v>8</v>
      </c>
      <c r="C7">
        <v>100000</v>
      </c>
      <c r="D7">
        <f t="shared" si="0"/>
        <v>800000</v>
      </c>
      <c r="E7">
        <v>5101</v>
      </c>
      <c r="F7">
        <f t="shared" si="1"/>
        <v>156831.99372672025</v>
      </c>
      <c r="G7">
        <f t="shared" si="2"/>
        <v>51.01</v>
      </c>
    </row>
    <row r="8" spans="2:7">
      <c r="B8">
        <v>16</v>
      </c>
      <c r="C8">
        <v>100000</v>
      </c>
      <c r="D8">
        <f t="shared" si="0"/>
        <v>1600000</v>
      </c>
      <c r="E8">
        <v>10140</v>
      </c>
      <c r="F8">
        <f t="shared" si="1"/>
        <v>157790.92702169626</v>
      </c>
      <c r="G8">
        <f t="shared" si="2"/>
        <v>101.4</v>
      </c>
    </row>
    <row r="9" spans="2:7">
      <c r="B9">
        <v>32</v>
      </c>
      <c r="C9">
        <v>100000</v>
      </c>
      <c r="D9">
        <f t="shared" si="0"/>
        <v>3200000</v>
      </c>
      <c r="E9">
        <v>19264</v>
      </c>
      <c r="F9">
        <f t="shared" si="1"/>
        <v>166112.95681063124</v>
      </c>
      <c r="G9">
        <f t="shared" si="2"/>
        <v>192.64</v>
      </c>
    </row>
    <row r="10" spans="2:7">
      <c r="B10">
        <v>64</v>
      </c>
      <c r="C10">
        <v>100000</v>
      </c>
      <c r="D10">
        <f t="shared" si="0"/>
        <v>6400000</v>
      </c>
      <c r="E10">
        <v>37446</v>
      </c>
      <c r="F10">
        <f t="shared" si="1"/>
        <v>170912.7810714095</v>
      </c>
      <c r="G10">
        <f t="shared" si="2"/>
        <v>374.46</v>
      </c>
    </row>
    <row r="11" spans="2:7">
      <c r="B11">
        <v>128</v>
      </c>
      <c r="C11">
        <v>100000</v>
      </c>
      <c r="D11">
        <f t="shared" si="0"/>
        <v>12800000</v>
      </c>
      <c r="E11">
        <v>79724</v>
      </c>
      <c r="F11">
        <f t="shared" si="1"/>
        <v>160553.91099292558</v>
      </c>
      <c r="G11">
        <f t="shared" si="2"/>
        <v>797.24</v>
      </c>
    </row>
    <row r="12" spans="2:7">
      <c r="B12">
        <v>256</v>
      </c>
      <c r="C12">
        <v>100000</v>
      </c>
      <c r="D12">
        <f t="shared" si="0"/>
        <v>25600000</v>
      </c>
      <c r="E12">
        <v>157283</v>
      </c>
      <c r="F12">
        <f t="shared" si="1"/>
        <v>162763.93507244901</v>
      </c>
      <c r="G12">
        <f t="shared" si="2"/>
        <v>1572.83</v>
      </c>
    </row>
    <row r="14" spans="2:7">
      <c r="B14" t="s">
        <v>3</v>
      </c>
    </row>
    <row r="15" spans="2:7">
      <c r="B15" s="1" t="s">
        <v>6</v>
      </c>
      <c r="C15" s="1" t="s">
        <v>4</v>
      </c>
      <c r="D15" s="1" t="s">
        <v>5</v>
      </c>
      <c r="E15" s="1" t="s">
        <v>0</v>
      </c>
      <c r="F15" s="1" t="s">
        <v>1</v>
      </c>
      <c r="G15" s="1" t="s">
        <v>7</v>
      </c>
    </row>
    <row r="16" spans="2:7">
      <c r="B16">
        <v>1</v>
      </c>
      <c r="C16">
        <v>100000</v>
      </c>
      <c r="D16">
        <f>B16*C16</f>
        <v>100000</v>
      </c>
      <c r="E16">
        <v>4223</v>
      </c>
      <c r="F16">
        <f>D16/E16*1000</f>
        <v>23679.848448969929</v>
      </c>
      <c r="G16">
        <f>E16*1000/100000</f>
        <v>42.23</v>
      </c>
    </row>
    <row r="17" spans="2:7">
      <c r="B17">
        <v>2</v>
      </c>
      <c r="C17">
        <v>100000</v>
      </c>
      <c r="D17">
        <f t="shared" ref="D17:D24" si="3">B17*C17</f>
        <v>200000</v>
      </c>
      <c r="E17">
        <v>4752</v>
      </c>
      <c r="F17">
        <f t="shared" ref="F17:F24" si="4">D17/E17*1000</f>
        <v>42087.54208754209</v>
      </c>
      <c r="G17">
        <f t="shared" ref="G17:G24" si="5">E17*1000/100000</f>
        <v>47.52</v>
      </c>
    </row>
    <row r="18" spans="2:7">
      <c r="B18">
        <v>4</v>
      </c>
      <c r="C18">
        <v>100000</v>
      </c>
      <c r="D18">
        <f t="shared" si="3"/>
        <v>400000</v>
      </c>
      <c r="E18">
        <v>4665</v>
      </c>
      <c r="F18">
        <f t="shared" si="4"/>
        <v>85744.908896034307</v>
      </c>
      <c r="G18">
        <f t="shared" si="5"/>
        <v>46.65</v>
      </c>
    </row>
    <row r="19" spans="2:7">
      <c r="B19">
        <v>8</v>
      </c>
      <c r="C19">
        <v>100000</v>
      </c>
      <c r="D19">
        <f t="shared" si="3"/>
        <v>800000</v>
      </c>
      <c r="E19">
        <v>5149</v>
      </c>
      <c r="F19">
        <f t="shared" si="4"/>
        <v>155369.97475237912</v>
      </c>
      <c r="G19">
        <f t="shared" si="5"/>
        <v>51.49</v>
      </c>
    </row>
    <row r="20" spans="2:7">
      <c r="B20">
        <v>16</v>
      </c>
      <c r="C20">
        <v>100000</v>
      </c>
      <c r="D20">
        <f t="shared" si="3"/>
        <v>1600000</v>
      </c>
      <c r="E20">
        <v>7921</v>
      </c>
      <c r="F20">
        <f t="shared" si="4"/>
        <v>201994.69763918695</v>
      </c>
      <c r="G20">
        <f t="shared" si="5"/>
        <v>79.209999999999994</v>
      </c>
    </row>
    <row r="21" spans="2:7">
      <c r="B21">
        <v>32</v>
      </c>
      <c r="C21">
        <v>100000</v>
      </c>
      <c r="D21">
        <f t="shared" si="3"/>
        <v>3200000</v>
      </c>
      <c r="E21">
        <v>16198</v>
      </c>
      <c r="F21">
        <f t="shared" si="4"/>
        <v>197555.25373502902</v>
      </c>
      <c r="G21">
        <f t="shared" si="5"/>
        <v>161.97999999999999</v>
      </c>
    </row>
    <row r="22" spans="2:7">
      <c r="B22">
        <v>64</v>
      </c>
      <c r="C22">
        <v>100000</v>
      </c>
      <c r="D22">
        <f t="shared" si="3"/>
        <v>6400000</v>
      </c>
      <c r="E22">
        <v>31410</v>
      </c>
      <c r="F22">
        <f t="shared" si="4"/>
        <v>203756.76536134988</v>
      </c>
      <c r="G22">
        <f t="shared" si="5"/>
        <v>314.10000000000002</v>
      </c>
    </row>
    <row r="23" spans="2:7">
      <c r="B23">
        <v>128</v>
      </c>
      <c r="C23">
        <v>100000</v>
      </c>
      <c r="D23">
        <f t="shared" si="3"/>
        <v>12800000</v>
      </c>
      <c r="E23">
        <v>64752</v>
      </c>
      <c r="F23">
        <f t="shared" si="4"/>
        <v>197677.29182110206</v>
      </c>
      <c r="G23">
        <f t="shared" si="5"/>
        <v>647.52</v>
      </c>
    </row>
    <row r="24" spans="2:7">
      <c r="B24">
        <v>256</v>
      </c>
      <c r="C24">
        <v>100000</v>
      </c>
      <c r="D24">
        <f t="shared" si="3"/>
        <v>25600000</v>
      </c>
      <c r="E24">
        <v>131328</v>
      </c>
      <c r="F24">
        <f t="shared" si="4"/>
        <v>194931.7738791423</v>
      </c>
      <c r="G24">
        <f t="shared" si="5"/>
        <v>1313.28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G24"/>
  <sheetViews>
    <sheetView workbookViewId="0">
      <selection activeCell="F20" sqref="F20"/>
    </sheetView>
  </sheetViews>
  <sheetFormatPr defaultRowHeight="13.5"/>
  <cols>
    <col min="3" max="3" width="24" customWidth="1"/>
    <col min="4" max="4" width="19" customWidth="1"/>
    <col min="5" max="5" width="13.5" customWidth="1"/>
    <col min="6" max="6" width="17.875" customWidth="1"/>
    <col min="7" max="7" width="24.375" customWidth="1"/>
  </cols>
  <sheetData>
    <row r="2" spans="2:7">
      <c r="B2" t="s">
        <v>2</v>
      </c>
    </row>
    <row r="3" spans="2:7">
      <c r="B3" s="1" t="s">
        <v>6</v>
      </c>
      <c r="C3" s="1" t="s">
        <v>4</v>
      </c>
      <c r="D3" s="1" t="s">
        <v>5</v>
      </c>
      <c r="E3" s="1" t="s">
        <v>0</v>
      </c>
      <c r="F3" s="1" t="s">
        <v>1</v>
      </c>
      <c r="G3" s="1" t="s">
        <v>7</v>
      </c>
    </row>
    <row r="4" spans="2:7">
      <c r="B4">
        <v>1</v>
      </c>
      <c r="C4">
        <v>100000</v>
      </c>
      <c r="D4">
        <f>B4*C4</f>
        <v>100000</v>
      </c>
      <c r="E4">
        <v>1754</v>
      </c>
      <c r="F4">
        <f>D4/E4*1000</f>
        <v>57012.542759407072</v>
      </c>
      <c r="G4">
        <f>E4*1000/100000</f>
        <v>17.54</v>
      </c>
    </row>
    <row r="5" spans="2:7">
      <c r="B5">
        <v>2</v>
      </c>
      <c r="C5">
        <v>100000</v>
      </c>
      <c r="D5">
        <f t="shared" ref="D5:D12" si="0">B5*C5</f>
        <v>200000</v>
      </c>
      <c r="E5">
        <v>2376</v>
      </c>
      <c r="F5">
        <f t="shared" ref="F5:F12" si="1">D5/E5*1000</f>
        <v>84175.084175084179</v>
      </c>
      <c r="G5">
        <f t="shared" ref="G5:G12" si="2">E5*1000/100000</f>
        <v>23.76</v>
      </c>
    </row>
    <row r="6" spans="2:7">
      <c r="B6">
        <v>4</v>
      </c>
      <c r="C6">
        <v>100000</v>
      </c>
      <c r="D6">
        <f t="shared" si="0"/>
        <v>400000</v>
      </c>
      <c r="E6">
        <v>2442</v>
      </c>
      <c r="F6">
        <f t="shared" si="1"/>
        <v>163800.16380016381</v>
      </c>
      <c r="G6">
        <f t="shared" si="2"/>
        <v>24.42</v>
      </c>
    </row>
    <row r="7" spans="2:7">
      <c r="B7">
        <v>8</v>
      </c>
      <c r="C7">
        <v>100000</v>
      </c>
      <c r="D7">
        <f t="shared" si="0"/>
        <v>800000</v>
      </c>
      <c r="E7">
        <v>2774</v>
      </c>
      <c r="F7">
        <f t="shared" si="1"/>
        <v>288392.21341023792</v>
      </c>
      <c r="G7">
        <f t="shared" si="2"/>
        <v>27.74</v>
      </c>
    </row>
    <row r="8" spans="2:7">
      <c r="B8">
        <v>16</v>
      </c>
      <c r="C8">
        <v>100000</v>
      </c>
      <c r="D8">
        <f t="shared" si="0"/>
        <v>1600000</v>
      </c>
      <c r="E8">
        <v>5633</v>
      </c>
      <c r="F8">
        <f t="shared" si="1"/>
        <v>284040.47576779692</v>
      </c>
      <c r="G8">
        <f t="shared" si="2"/>
        <v>56.33</v>
      </c>
    </row>
    <row r="9" spans="2:7">
      <c r="B9">
        <v>32</v>
      </c>
      <c r="C9">
        <v>100000</v>
      </c>
      <c r="D9">
        <f t="shared" si="0"/>
        <v>3200000</v>
      </c>
      <c r="E9">
        <v>10256</v>
      </c>
      <c r="F9">
        <f t="shared" si="1"/>
        <v>312012.48049921996</v>
      </c>
      <c r="G9">
        <f t="shared" si="2"/>
        <v>102.56</v>
      </c>
    </row>
    <row r="10" spans="2:7">
      <c r="B10">
        <v>64</v>
      </c>
      <c r="C10">
        <v>100000</v>
      </c>
      <c r="D10">
        <f t="shared" si="0"/>
        <v>6400000</v>
      </c>
      <c r="E10">
        <v>18988</v>
      </c>
      <c r="F10">
        <f t="shared" si="1"/>
        <v>337054.98209395411</v>
      </c>
      <c r="G10">
        <f t="shared" si="2"/>
        <v>189.88</v>
      </c>
    </row>
    <row r="11" spans="2:7">
      <c r="B11">
        <v>128</v>
      </c>
      <c r="C11">
        <v>100000</v>
      </c>
      <c r="D11">
        <f t="shared" si="0"/>
        <v>12800000</v>
      </c>
      <c r="E11">
        <v>36841</v>
      </c>
      <c r="F11">
        <f t="shared" si="1"/>
        <v>347438.99459840939</v>
      </c>
      <c r="G11">
        <f t="shared" si="2"/>
        <v>368.41</v>
      </c>
    </row>
    <row r="12" spans="2:7">
      <c r="B12">
        <v>256</v>
      </c>
      <c r="C12">
        <v>100000</v>
      </c>
      <c r="D12">
        <f t="shared" si="0"/>
        <v>25600000</v>
      </c>
      <c r="E12">
        <v>76420</v>
      </c>
      <c r="F12">
        <f t="shared" si="1"/>
        <v>334990.84009421617</v>
      </c>
      <c r="G12">
        <f t="shared" si="2"/>
        <v>764.2</v>
      </c>
    </row>
    <row r="14" spans="2:7">
      <c r="B14" t="s">
        <v>3</v>
      </c>
    </row>
    <row r="15" spans="2:7">
      <c r="B15" s="1" t="s">
        <v>6</v>
      </c>
      <c r="C15" s="1" t="s">
        <v>4</v>
      </c>
      <c r="D15" s="1" t="s">
        <v>5</v>
      </c>
      <c r="E15" s="1" t="s">
        <v>0</v>
      </c>
      <c r="F15" s="1" t="s">
        <v>1</v>
      </c>
      <c r="G15" s="1" t="s">
        <v>7</v>
      </c>
    </row>
    <row r="16" spans="2:7">
      <c r="B16">
        <v>1</v>
      </c>
      <c r="C16">
        <v>100000</v>
      </c>
      <c r="D16">
        <f>B16*C16</f>
        <v>100000</v>
      </c>
      <c r="E16">
        <v>4931</v>
      </c>
      <c r="F16">
        <f>D16/E16*1000</f>
        <v>20279.862096937741</v>
      </c>
      <c r="G16">
        <f>E16*1000/100000</f>
        <v>49.31</v>
      </c>
    </row>
    <row r="17" spans="2:7">
      <c r="B17">
        <v>2</v>
      </c>
      <c r="C17">
        <v>100000</v>
      </c>
      <c r="D17">
        <f t="shared" ref="D17:D24" si="3">B17*C17</f>
        <v>200000</v>
      </c>
      <c r="E17">
        <v>5212</v>
      </c>
      <c r="F17">
        <f t="shared" ref="F17:F24" si="4">D17/E17*1000</f>
        <v>38372.98541826554</v>
      </c>
      <c r="G17">
        <f t="shared" ref="G17:G24" si="5">E17*1000/100000</f>
        <v>52.12</v>
      </c>
    </row>
    <row r="18" spans="2:7">
      <c r="B18">
        <v>4</v>
      </c>
      <c r="C18">
        <v>100000</v>
      </c>
      <c r="D18">
        <f t="shared" si="3"/>
        <v>400000</v>
      </c>
      <c r="E18">
        <v>5340</v>
      </c>
      <c r="F18">
        <f t="shared" si="4"/>
        <v>74906.367041198508</v>
      </c>
      <c r="G18">
        <f t="shared" si="5"/>
        <v>53.4</v>
      </c>
    </row>
    <row r="19" spans="2:7">
      <c r="B19">
        <v>8</v>
      </c>
      <c r="C19">
        <v>100000</v>
      </c>
      <c r="D19">
        <f t="shared" si="3"/>
        <v>800000</v>
      </c>
      <c r="E19">
        <v>5793</v>
      </c>
      <c r="F19">
        <f t="shared" si="4"/>
        <v>138097.70412566891</v>
      </c>
      <c r="G19">
        <f t="shared" si="5"/>
        <v>57.93</v>
      </c>
    </row>
    <row r="20" spans="2:7">
      <c r="B20">
        <v>16</v>
      </c>
      <c r="C20">
        <v>100000</v>
      </c>
      <c r="D20">
        <f t="shared" si="3"/>
        <v>1600000</v>
      </c>
      <c r="E20">
        <v>9022</v>
      </c>
      <c r="F20">
        <f t="shared" si="4"/>
        <v>177344.26956328974</v>
      </c>
      <c r="G20">
        <f t="shared" si="5"/>
        <v>90.22</v>
      </c>
    </row>
    <row r="21" spans="2:7">
      <c r="B21">
        <v>32</v>
      </c>
      <c r="C21">
        <v>100000</v>
      </c>
      <c r="D21">
        <f t="shared" si="3"/>
        <v>3200000</v>
      </c>
      <c r="E21">
        <v>17668</v>
      </c>
      <c r="F21">
        <f t="shared" si="4"/>
        <v>181118.40615802581</v>
      </c>
      <c r="G21">
        <f t="shared" si="5"/>
        <v>176.68</v>
      </c>
    </row>
    <row r="22" spans="2:7">
      <c r="B22">
        <v>64</v>
      </c>
      <c r="C22">
        <v>100000</v>
      </c>
      <c r="D22">
        <f t="shared" si="3"/>
        <v>6400000</v>
      </c>
      <c r="E22">
        <v>30152</v>
      </c>
      <c r="F22">
        <f t="shared" si="4"/>
        <v>212257.8933404086</v>
      </c>
      <c r="G22">
        <f t="shared" si="5"/>
        <v>301.52</v>
      </c>
    </row>
    <row r="23" spans="2:7">
      <c r="B23">
        <v>128</v>
      </c>
      <c r="C23">
        <v>100000</v>
      </c>
      <c r="D23">
        <f t="shared" si="3"/>
        <v>12800000</v>
      </c>
      <c r="E23">
        <v>68544</v>
      </c>
      <c r="F23">
        <f t="shared" si="4"/>
        <v>186741.36321195145</v>
      </c>
      <c r="G23">
        <f t="shared" si="5"/>
        <v>685.44</v>
      </c>
    </row>
    <row r="24" spans="2:7">
      <c r="B24">
        <v>256</v>
      </c>
      <c r="C24">
        <v>100000</v>
      </c>
      <c r="D24">
        <f t="shared" si="3"/>
        <v>25600000</v>
      </c>
      <c r="E24">
        <v>130400</v>
      </c>
      <c r="F24">
        <f t="shared" si="4"/>
        <v>196319.01840490798</v>
      </c>
      <c r="G24">
        <f t="shared" si="5"/>
        <v>1304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G24"/>
  <sheetViews>
    <sheetView workbookViewId="0">
      <selection activeCell="D19" sqref="D19"/>
    </sheetView>
  </sheetViews>
  <sheetFormatPr defaultRowHeight="13.5"/>
  <cols>
    <col min="3" max="3" width="23.25" customWidth="1"/>
    <col min="4" max="4" width="16.375" customWidth="1"/>
    <col min="5" max="5" width="13.125" customWidth="1"/>
    <col min="6" max="6" width="16" customWidth="1"/>
    <col min="7" max="7" width="23.375" customWidth="1"/>
  </cols>
  <sheetData>
    <row r="2" spans="2:7">
      <c r="B2" t="s">
        <v>2</v>
      </c>
    </row>
    <row r="3" spans="2:7">
      <c r="B3" s="1" t="s">
        <v>6</v>
      </c>
      <c r="C3" s="1" t="s">
        <v>4</v>
      </c>
      <c r="D3" s="1" t="s">
        <v>5</v>
      </c>
      <c r="E3" s="1" t="s">
        <v>0</v>
      </c>
      <c r="F3" s="1" t="s">
        <v>1</v>
      </c>
      <c r="G3" s="1" t="s">
        <v>7</v>
      </c>
    </row>
    <row r="4" spans="2:7">
      <c r="B4">
        <v>1</v>
      </c>
      <c r="C4">
        <v>100000</v>
      </c>
      <c r="D4">
        <f>B4*C4</f>
        <v>100000</v>
      </c>
      <c r="E4">
        <v>1702</v>
      </c>
      <c r="F4">
        <f>D4/E4*1000</f>
        <v>58754.406580493538</v>
      </c>
      <c r="G4">
        <f>E4*1000/100000</f>
        <v>17.02</v>
      </c>
    </row>
    <row r="5" spans="2:7">
      <c r="B5">
        <v>2</v>
      </c>
      <c r="C5">
        <v>100000</v>
      </c>
      <c r="D5">
        <f t="shared" ref="D5:D12" si="0">B5*C5</f>
        <v>200000</v>
      </c>
      <c r="E5">
        <v>2248</v>
      </c>
      <c r="F5">
        <f t="shared" ref="F5:F12" si="1">D5/E5*1000</f>
        <v>88967.971530249109</v>
      </c>
      <c r="G5">
        <f t="shared" ref="G5:G12" si="2">E5*1000/100000</f>
        <v>22.48</v>
      </c>
    </row>
    <row r="6" spans="2:7">
      <c r="B6">
        <v>4</v>
      </c>
      <c r="C6">
        <v>100000</v>
      </c>
      <c r="D6">
        <f t="shared" si="0"/>
        <v>400000</v>
      </c>
      <c r="E6">
        <v>2706</v>
      </c>
      <c r="F6">
        <f t="shared" si="1"/>
        <v>147819.66001478196</v>
      </c>
      <c r="G6">
        <f t="shared" si="2"/>
        <v>27.06</v>
      </c>
    </row>
    <row r="7" spans="2:7">
      <c r="B7">
        <v>8</v>
      </c>
      <c r="C7">
        <v>100000</v>
      </c>
      <c r="D7">
        <f t="shared" si="0"/>
        <v>800000</v>
      </c>
      <c r="E7">
        <v>4253</v>
      </c>
      <c r="F7">
        <f t="shared" si="1"/>
        <v>188102.51587114975</v>
      </c>
      <c r="G7">
        <f t="shared" si="2"/>
        <v>42.53</v>
      </c>
    </row>
    <row r="8" spans="2:7">
      <c r="B8">
        <v>16</v>
      </c>
      <c r="C8">
        <v>100000</v>
      </c>
      <c r="D8">
        <f t="shared" si="0"/>
        <v>1600000</v>
      </c>
      <c r="E8">
        <v>8042</v>
      </c>
      <c r="F8">
        <f t="shared" si="1"/>
        <v>198955.48371051977</v>
      </c>
      <c r="G8">
        <f t="shared" si="2"/>
        <v>80.42</v>
      </c>
    </row>
    <row r="9" spans="2:7">
      <c r="B9">
        <v>32</v>
      </c>
      <c r="C9">
        <v>100000</v>
      </c>
      <c r="D9">
        <f t="shared" si="0"/>
        <v>3200000</v>
      </c>
      <c r="E9">
        <v>17068</v>
      </c>
      <c r="F9">
        <f t="shared" si="1"/>
        <v>187485.35270681977</v>
      </c>
      <c r="G9">
        <f t="shared" si="2"/>
        <v>170.68</v>
      </c>
    </row>
    <row r="10" spans="2:7">
      <c r="B10">
        <v>64</v>
      </c>
      <c r="C10">
        <v>100000</v>
      </c>
      <c r="D10">
        <f t="shared" si="0"/>
        <v>6400000</v>
      </c>
      <c r="E10">
        <v>31944</v>
      </c>
      <c r="F10">
        <f t="shared" si="1"/>
        <v>200350.61357375406</v>
      </c>
      <c r="G10">
        <f t="shared" si="2"/>
        <v>319.44</v>
      </c>
    </row>
    <row r="11" spans="2:7">
      <c r="B11">
        <v>128</v>
      </c>
      <c r="C11">
        <v>100000</v>
      </c>
      <c r="D11">
        <f t="shared" si="0"/>
        <v>12800000</v>
      </c>
      <c r="E11">
        <v>68897</v>
      </c>
      <c r="F11">
        <f t="shared" si="1"/>
        <v>185784.57697722685</v>
      </c>
      <c r="G11">
        <f t="shared" si="2"/>
        <v>688.97</v>
      </c>
    </row>
    <row r="12" spans="2:7">
      <c r="B12">
        <v>256</v>
      </c>
      <c r="C12">
        <v>100000</v>
      </c>
      <c r="D12">
        <f t="shared" si="0"/>
        <v>25600000</v>
      </c>
      <c r="E12">
        <v>140428</v>
      </c>
      <c r="F12">
        <f t="shared" si="1"/>
        <v>182299.82624547809</v>
      </c>
      <c r="G12">
        <f t="shared" si="2"/>
        <v>1404.28</v>
      </c>
    </row>
    <row r="14" spans="2:7">
      <c r="B14" t="s">
        <v>3</v>
      </c>
    </row>
    <row r="15" spans="2:7">
      <c r="B15" s="1" t="s">
        <v>6</v>
      </c>
      <c r="C15" s="1" t="s">
        <v>4</v>
      </c>
      <c r="D15" s="1" t="s">
        <v>5</v>
      </c>
      <c r="E15" s="1" t="s">
        <v>0</v>
      </c>
      <c r="F15" s="1" t="s">
        <v>1</v>
      </c>
      <c r="G15" s="1" t="s">
        <v>7</v>
      </c>
    </row>
    <row r="16" spans="2:7">
      <c r="B16">
        <v>1</v>
      </c>
      <c r="C16">
        <v>100000</v>
      </c>
      <c r="D16">
        <f>B16*C16</f>
        <v>100000</v>
      </c>
      <c r="E16">
        <v>5132</v>
      </c>
      <c r="F16">
        <f>D16/E16*1000</f>
        <v>19485.580670303974</v>
      </c>
      <c r="G16">
        <f>E16*1000/100000</f>
        <v>51.32</v>
      </c>
    </row>
    <row r="17" spans="2:7">
      <c r="B17">
        <v>2</v>
      </c>
      <c r="C17">
        <v>100000</v>
      </c>
      <c r="D17">
        <f t="shared" ref="D17:D24" si="3">B17*C17</f>
        <v>200000</v>
      </c>
      <c r="E17">
        <v>5410</v>
      </c>
      <c r="F17">
        <f t="shared" ref="F17:F24" si="4">D17/E17*1000</f>
        <v>36968.576709796675</v>
      </c>
      <c r="G17">
        <f t="shared" ref="G17:G24" si="5">E17*1000/100000</f>
        <v>54.1</v>
      </c>
    </row>
    <row r="18" spans="2:7">
      <c r="B18">
        <v>4</v>
      </c>
      <c r="C18">
        <v>100000</v>
      </c>
      <c r="D18">
        <f t="shared" si="3"/>
        <v>400000</v>
      </c>
      <c r="E18">
        <v>5372</v>
      </c>
      <c r="F18">
        <f t="shared" si="4"/>
        <v>74460.163812360392</v>
      </c>
      <c r="G18">
        <f t="shared" si="5"/>
        <v>53.72</v>
      </c>
    </row>
    <row r="19" spans="2:7">
      <c r="B19">
        <v>8</v>
      </c>
      <c r="C19">
        <v>100000</v>
      </c>
      <c r="D19">
        <f t="shared" si="3"/>
        <v>800000</v>
      </c>
      <c r="E19">
        <v>6128</v>
      </c>
      <c r="F19">
        <f t="shared" si="4"/>
        <v>130548.30287206266</v>
      </c>
      <c r="G19">
        <f t="shared" si="5"/>
        <v>61.28</v>
      </c>
    </row>
    <row r="20" spans="2:7">
      <c r="B20">
        <v>16</v>
      </c>
      <c r="C20">
        <v>100000</v>
      </c>
      <c r="D20">
        <f t="shared" si="3"/>
        <v>1600000</v>
      </c>
      <c r="E20">
        <v>11055</v>
      </c>
      <c r="F20">
        <f t="shared" si="4"/>
        <v>144730.8909995477</v>
      </c>
      <c r="G20">
        <f t="shared" si="5"/>
        <v>110.55</v>
      </c>
    </row>
    <row r="21" spans="2:7">
      <c r="B21">
        <v>32</v>
      </c>
      <c r="C21">
        <v>100000</v>
      </c>
      <c r="D21">
        <f t="shared" si="3"/>
        <v>3200000</v>
      </c>
      <c r="E21">
        <v>22611</v>
      </c>
      <c r="F21">
        <f t="shared" si="4"/>
        <v>141524.03697315467</v>
      </c>
      <c r="G21">
        <f t="shared" si="5"/>
        <v>226.11</v>
      </c>
    </row>
    <row r="22" spans="2:7">
      <c r="B22">
        <v>64</v>
      </c>
      <c r="C22">
        <v>100000</v>
      </c>
      <c r="D22">
        <f t="shared" si="3"/>
        <v>6400000</v>
      </c>
      <c r="E22">
        <v>44004</v>
      </c>
      <c r="F22">
        <f t="shared" si="4"/>
        <v>145441.32351604401</v>
      </c>
      <c r="G22">
        <f t="shared" si="5"/>
        <v>440.04</v>
      </c>
    </row>
    <row r="23" spans="2:7">
      <c r="B23">
        <v>128</v>
      </c>
      <c r="C23">
        <v>100000</v>
      </c>
      <c r="D23">
        <f t="shared" si="3"/>
        <v>12800000</v>
      </c>
      <c r="E23">
        <v>88015</v>
      </c>
      <c r="F23">
        <f t="shared" si="4"/>
        <v>145429.75629154121</v>
      </c>
      <c r="G23">
        <f t="shared" si="5"/>
        <v>880.15</v>
      </c>
    </row>
    <row r="24" spans="2:7">
      <c r="B24">
        <v>256</v>
      </c>
      <c r="C24">
        <v>100000</v>
      </c>
      <c r="D24">
        <f t="shared" si="3"/>
        <v>25600000</v>
      </c>
      <c r="E24">
        <v>186097</v>
      </c>
      <c r="F24">
        <f t="shared" si="4"/>
        <v>137562.66893071894</v>
      </c>
      <c r="G24">
        <f t="shared" si="5"/>
        <v>1860.97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39" sqref="I39"/>
    </sheetView>
  </sheetViews>
  <sheetFormatPr defaultRowHeight="13.5"/>
  <cols>
    <col min="1" max="1" width="3.75" customWidth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2:G24"/>
  <sheetViews>
    <sheetView tabSelected="1" workbookViewId="0">
      <selection activeCell="F16" sqref="F16"/>
    </sheetView>
  </sheetViews>
  <sheetFormatPr defaultRowHeight="13.5"/>
  <cols>
    <col min="2" max="2" width="13.5" customWidth="1"/>
    <col min="3" max="3" width="22.5" customWidth="1"/>
    <col min="4" max="4" width="17.625" customWidth="1"/>
    <col min="5" max="5" width="13" customWidth="1"/>
    <col min="6" max="6" width="18.625" customWidth="1"/>
    <col min="7" max="7" width="26" customWidth="1"/>
  </cols>
  <sheetData>
    <row r="2" spans="2:7">
      <c r="B2" t="s">
        <v>2</v>
      </c>
    </row>
    <row r="3" spans="2:7">
      <c r="B3" s="1" t="s">
        <v>6</v>
      </c>
      <c r="C3" s="1" t="s">
        <v>4</v>
      </c>
      <c r="D3" s="1" t="s">
        <v>5</v>
      </c>
      <c r="E3" s="1" t="s">
        <v>0</v>
      </c>
      <c r="F3" s="1" t="s">
        <v>1</v>
      </c>
      <c r="G3" s="1" t="s">
        <v>7</v>
      </c>
    </row>
    <row r="4" spans="2:7">
      <c r="B4">
        <v>1</v>
      </c>
      <c r="C4">
        <v>100000</v>
      </c>
      <c r="D4">
        <f>B4*C4</f>
        <v>100000</v>
      </c>
      <c r="E4">
        <v>3558</v>
      </c>
      <c r="F4">
        <f>D4/E4*1000</f>
        <v>28105.677346824061</v>
      </c>
      <c r="G4">
        <f>E4*1000/100000</f>
        <v>35.58</v>
      </c>
    </row>
    <row r="5" spans="2:7">
      <c r="B5">
        <v>2</v>
      </c>
      <c r="C5">
        <v>100000</v>
      </c>
      <c r="D5">
        <f t="shared" ref="D5:D12" si="0">B5*C5</f>
        <v>200000</v>
      </c>
      <c r="E5">
        <v>3533</v>
      </c>
      <c r="F5">
        <f t="shared" ref="F5:F12" si="1">D5/E5*1000</f>
        <v>56609.114067364841</v>
      </c>
      <c r="G5">
        <f t="shared" ref="G5:G12" si="2">E5*1000/100000</f>
        <v>35.33</v>
      </c>
    </row>
    <row r="6" spans="2:7">
      <c r="B6">
        <v>4</v>
      </c>
      <c r="C6">
        <v>100000</v>
      </c>
      <c r="D6">
        <f t="shared" si="0"/>
        <v>400000</v>
      </c>
      <c r="E6">
        <v>3688</v>
      </c>
      <c r="F6">
        <f t="shared" si="1"/>
        <v>108459.86984815619</v>
      </c>
      <c r="G6">
        <f t="shared" si="2"/>
        <v>36.880000000000003</v>
      </c>
    </row>
    <row r="7" spans="2:7">
      <c r="B7">
        <v>8</v>
      </c>
      <c r="C7">
        <v>100000</v>
      </c>
      <c r="D7">
        <f t="shared" si="0"/>
        <v>800000</v>
      </c>
      <c r="E7">
        <v>7408</v>
      </c>
      <c r="F7">
        <f t="shared" si="1"/>
        <v>107991.36069114471</v>
      </c>
      <c r="G7">
        <f t="shared" si="2"/>
        <v>74.08</v>
      </c>
    </row>
    <row r="8" spans="2:7">
      <c r="B8">
        <v>16</v>
      </c>
      <c r="C8">
        <v>100000</v>
      </c>
      <c r="D8">
        <f t="shared" si="0"/>
        <v>1600000</v>
      </c>
      <c r="E8">
        <v>13675</v>
      </c>
      <c r="F8">
        <f t="shared" si="1"/>
        <v>117001.8281535649</v>
      </c>
      <c r="G8">
        <f t="shared" si="2"/>
        <v>136.75</v>
      </c>
    </row>
    <row r="9" spans="2:7">
      <c r="B9">
        <v>32</v>
      </c>
      <c r="C9">
        <v>100000</v>
      </c>
      <c r="D9">
        <f t="shared" si="0"/>
        <v>3200000</v>
      </c>
      <c r="E9">
        <v>28505</v>
      </c>
      <c r="F9">
        <f t="shared" si="1"/>
        <v>112261.00684090512</v>
      </c>
      <c r="G9">
        <f t="shared" si="2"/>
        <v>285.05</v>
      </c>
    </row>
    <row r="10" spans="2:7">
      <c r="B10">
        <v>64</v>
      </c>
      <c r="C10">
        <v>100000</v>
      </c>
      <c r="D10">
        <f t="shared" si="0"/>
        <v>6400000</v>
      </c>
      <c r="E10">
        <v>60545</v>
      </c>
      <c r="F10">
        <f t="shared" si="1"/>
        <v>105706.49929804278</v>
      </c>
      <c r="G10">
        <f t="shared" si="2"/>
        <v>605.45000000000005</v>
      </c>
    </row>
    <row r="11" spans="2:7">
      <c r="B11">
        <v>128</v>
      </c>
      <c r="C11">
        <v>100000</v>
      </c>
      <c r="D11">
        <f t="shared" si="0"/>
        <v>12800000</v>
      </c>
      <c r="E11">
        <v>119523</v>
      </c>
      <c r="F11">
        <f t="shared" si="1"/>
        <v>107092.35879286833</v>
      </c>
      <c r="G11">
        <f t="shared" si="2"/>
        <v>1195.23</v>
      </c>
    </row>
    <row r="12" spans="2:7">
      <c r="B12">
        <v>256</v>
      </c>
      <c r="C12">
        <v>100000</v>
      </c>
      <c r="D12">
        <f t="shared" si="0"/>
        <v>25600000</v>
      </c>
      <c r="E12">
        <v>222681</v>
      </c>
      <c r="F12">
        <f t="shared" si="1"/>
        <v>114962.65958927793</v>
      </c>
      <c r="G12">
        <f t="shared" si="2"/>
        <v>2226.81</v>
      </c>
    </row>
    <row r="14" spans="2:7">
      <c r="B14" t="s">
        <v>3</v>
      </c>
    </row>
    <row r="15" spans="2:7">
      <c r="B15" s="1" t="s">
        <v>6</v>
      </c>
      <c r="C15" s="1" t="s">
        <v>4</v>
      </c>
      <c r="D15" s="1" t="s">
        <v>5</v>
      </c>
      <c r="E15" s="1" t="s">
        <v>0</v>
      </c>
      <c r="F15" s="1" t="s">
        <v>1</v>
      </c>
      <c r="G15" s="1" t="s">
        <v>7</v>
      </c>
    </row>
    <row r="16" spans="2:7">
      <c r="B16">
        <v>1</v>
      </c>
      <c r="C16">
        <v>100000</v>
      </c>
      <c r="D16">
        <f>B16*C16</f>
        <v>100000</v>
      </c>
      <c r="E16">
        <v>8575</v>
      </c>
      <c r="F16">
        <f>D16/E16*1000</f>
        <v>11661.807580174926</v>
      </c>
      <c r="G16">
        <f>E16*1000/100000</f>
        <v>85.75</v>
      </c>
    </row>
    <row r="17" spans="2:7">
      <c r="B17">
        <v>2</v>
      </c>
      <c r="C17">
        <v>100000</v>
      </c>
      <c r="D17">
        <f t="shared" ref="D17:D24" si="3">B17*C17</f>
        <v>200000</v>
      </c>
      <c r="E17">
        <v>9578</v>
      </c>
      <c r="F17">
        <f t="shared" ref="F17:F24" si="4">D17/E17*1000</f>
        <v>20881.186051367717</v>
      </c>
      <c r="G17">
        <f t="shared" ref="G17:G24" si="5">E17*1000/100000</f>
        <v>95.78</v>
      </c>
    </row>
    <row r="18" spans="2:7">
      <c r="B18">
        <v>4</v>
      </c>
      <c r="C18">
        <v>100000</v>
      </c>
      <c r="D18">
        <f t="shared" si="3"/>
        <v>400000</v>
      </c>
      <c r="E18">
        <v>10177</v>
      </c>
      <c r="F18">
        <f t="shared" si="4"/>
        <v>39304.313648422911</v>
      </c>
      <c r="G18">
        <f t="shared" si="5"/>
        <v>101.77</v>
      </c>
    </row>
    <row r="19" spans="2:7">
      <c r="B19">
        <v>8</v>
      </c>
      <c r="C19">
        <v>100000</v>
      </c>
      <c r="D19">
        <f t="shared" si="3"/>
        <v>800000</v>
      </c>
      <c r="E19">
        <v>9845</v>
      </c>
      <c r="F19">
        <f t="shared" si="4"/>
        <v>81259.522600304714</v>
      </c>
      <c r="G19">
        <f t="shared" si="5"/>
        <v>98.45</v>
      </c>
    </row>
    <row r="20" spans="2:7">
      <c r="B20">
        <v>16</v>
      </c>
      <c r="C20">
        <v>100000</v>
      </c>
      <c r="D20">
        <f t="shared" si="3"/>
        <v>1600000</v>
      </c>
      <c r="E20">
        <v>12826</v>
      </c>
      <c r="F20">
        <f t="shared" si="4"/>
        <v>124746.60845158271</v>
      </c>
      <c r="G20">
        <f t="shared" si="5"/>
        <v>128.26</v>
      </c>
    </row>
    <row r="21" spans="2:7">
      <c r="B21">
        <v>32</v>
      </c>
      <c r="C21">
        <v>100000</v>
      </c>
      <c r="D21">
        <f t="shared" si="3"/>
        <v>3200000</v>
      </c>
      <c r="E21">
        <v>23747</v>
      </c>
      <c r="F21">
        <f t="shared" si="4"/>
        <v>134753.86364593421</v>
      </c>
      <c r="G21">
        <f t="shared" si="5"/>
        <v>237.47</v>
      </c>
    </row>
    <row r="22" spans="2:7">
      <c r="B22">
        <v>64</v>
      </c>
      <c r="C22">
        <v>100000</v>
      </c>
      <c r="D22">
        <f t="shared" si="3"/>
        <v>6400000</v>
      </c>
      <c r="E22">
        <v>46704</v>
      </c>
      <c r="F22">
        <f t="shared" si="4"/>
        <v>137033.23055841043</v>
      </c>
      <c r="G22">
        <f t="shared" si="5"/>
        <v>467.04</v>
      </c>
    </row>
    <row r="23" spans="2:7">
      <c r="B23">
        <v>128</v>
      </c>
      <c r="C23">
        <v>100000</v>
      </c>
      <c r="D23">
        <f t="shared" si="3"/>
        <v>12800000</v>
      </c>
      <c r="E23">
        <v>94284</v>
      </c>
      <c r="F23">
        <f t="shared" si="4"/>
        <v>135760.04412201434</v>
      </c>
      <c r="G23">
        <f t="shared" si="5"/>
        <v>942.84</v>
      </c>
    </row>
    <row r="24" spans="2:7">
      <c r="B24">
        <v>256</v>
      </c>
      <c r="C24">
        <v>100000</v>
      </c>
      <c r="D24">
        <f t="shared" si="3"/>
        <v>25600000</v>
      </c>
      <c r="E24">
        <v>185993</v>
      </c>
      <c r="F24">
        <f t="shared" si="4"/>
        <v>137639.58858666723</v>
      </c>
      <c r="G24">
        <f t="shared" si="5"/>
        <v>1859.93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GTS(single thread)</vt:lpstr>
      <vt:lpstr>GTS(2 threads) </vt:lpstr>
      <vt:lpstr>GTS(4 threads)</vt:lpstr>
      <vt:lpstr>GTS Chart</vt:lpstr>
      <vt:lpstr>Sequence(2 threads)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2018-08-03T05:51:12Z</dcterms:modified>
</cp:coreProperties>
</file>