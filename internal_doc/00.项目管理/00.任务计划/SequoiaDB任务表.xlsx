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5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'2015年'!$A$1:$M$48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<sst xmlns="http://schemas.openxmlformats.org/spreadsheetml/2006/main" count="720" uniqueCount="284">
  <si>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</si>
  <si>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</si>
  <si>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</si>
  <si>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</si>
  <si>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</si>
  <si>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</si>
  <si>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</si>
  <si>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</si>
  <si>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</si>
  <si>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</si>
  <si>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</si>
  <si>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</si>
  <si>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</si>
  <si>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</si>
  <si>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</si>
  <si>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</si>
  <si>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</si>
  <si>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</si>
  <si>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</si>
  <si>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</si>
  <si>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</si>
  <si>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</si>
  <si>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</si>
  <si>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</si>
  <si>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</si>
  <si>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</si>
  <si>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</si>
  <si>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</si>
  <si>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</si>
  <si>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</si>
  <si>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</si>
  <si>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</si>
  <si>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</si>
  <si>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</si>
  <si>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</si>
  <si>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</si>
  <si>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</si>
  <si>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</si>
  <si>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</si>
  <si>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</si>
  <si>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</si>
  <si>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</si>
  <si>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</si>
  <si>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</si>
  <si>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</si>
  <si>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</si>
  <si>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</si>
  <si>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</si>
  <si>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</si>
  <si>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</si>
  <si>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</si>
  <si>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</si>
  <si>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</si>
  <si>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</si>
  <si>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</si>
  <si>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</si>
  <si>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</si>
  <si>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</si>
  <si>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</si>
  <si>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</si>
  <si>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</si>
  <si>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</si>
  <si>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</si>
  <si>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</si>
  <si>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</si>
  <si>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</si>
  <si>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</si>
  <si>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</si>
  <si>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</si>
  <si>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</si>
  <si>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</si>
  <si>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</si>
  <si>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</si>
  <si>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</si>
  <si>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</si>
  <si>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</si>
  <si>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</si>
  <si>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</si>
  <si>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</si>
  <si>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</si>
  <si>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</si>
  <si>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</si>
  <si>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</si>
  <si>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</si>
  <si>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</si>
  <si>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</si>
  <si>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</si>
  <si>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</si>
  <si>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</si>
  <si>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</si>
  <si>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</si>
  <si>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</si>
  <si>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</si>
  <si>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</si>
  <si>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</si>
  <si>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</si>
  <si>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</si>
  <si>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</si>
  <si>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</si>
  <si>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</si>
  <si>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</si>
  <si>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</si>
  <si>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</si>
  <si>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</si>
  <si>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</si>
  <si>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</si>
  <si>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</si>
  <si>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</si>
  <si>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</si>
  <si>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</si>
  <si>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</si>
  <si>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</si>
  <si>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</si>
  <si>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</si>
  <si>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</si>
  <si>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</si>
  <si>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</si>
  <si>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</si>
  <si>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</si>
  <si>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</si>
  <si>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</si>
  <si>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</si>
  <si>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</si>
  <si>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</si>
  <si>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</si>
  <si>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</si>
  <si>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</si>
  <si>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</si>
  <si>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</si>
  <si>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</si>
  <si>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</si>
  <si>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</si>
  <si>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</si>
  <si>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</si>
  <si>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</si>
  <si>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</si>
  <si>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</si>
  <si>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</si>
  <si>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</si>
  <si>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</si>
  <si>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</si>
  <si>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</si>
  <si>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</si>
  <si>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</si>
  <si>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</si>
  <si>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</si>
  <si>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</si>
  <si>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</si>
  <si>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</si>
  <si>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</si>
  <si>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</si>
  <si>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</si>
  <si>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</si>
  <si>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</si>
  <si>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</si>
  <si>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</si>
  <si>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</si>
  <si>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</si>
  <si>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</si>
  <si>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</si>
  <si>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</si>
  <si>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</si>
  <si>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</si>
  <si>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</si>
  <si>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</si>
  <si>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</si>
  <si>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</si>
  <si>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</si>
  <si>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</si>
  <si>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</si>
  <si>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</si>
  <si>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</si>
  <si>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</si>
  <si>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</si>
  <si>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</si>
  <si>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</si>
  <si>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</si>
  <si>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</si>
  <si>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</si>
  <si>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</si>
  <si>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</si>
  <si>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</si>
  <si>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</si>
  <si>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</si>
  <si>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</si>
  <si>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</si>
  <si>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</si>
  <si>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</si>
  <si>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</si>
  <si>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</si>
  <si>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</si>
  <si>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</si>
  <si>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</si>
  <si>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</si>
  <si>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</si>
  <si>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</si>
  <si>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</si>
  <si>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</si>
  <si>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</si>
  <si>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</si>
  <si>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</si>
  <si>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</si>
  <si>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</si>
  <si>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</si>
  <si>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</si>
  <si>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</si>
  <si>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</si>
  <si>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</si>
  <si>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</si>
  <si>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</si>
  <si>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</si>
  <si>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</si>
  <si>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</si>
  <si>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</si>
  <si>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</si>
  <si>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</si>
  <si>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</si>
  <si>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</si>
  <si>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</si>
  <si>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</si>
  <si>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</si>
  <si>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</si>
  <si>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</si>
  <si>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</si>
  <si>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</si>
  <si>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</si>
  <si>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</si>
  <si>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</si>
  <si>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</si>
  <si>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</si>
  <si>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</si>
  <si>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</si>
  <si>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</si>
  <si>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</si>
  <si>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</si>
  <si>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</si>
  <si>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</si>
  <si>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</si>
  <si>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</si>
  <si>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</si>
  <si>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</si>
  <si>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</si>
  <si>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</si>
  <si>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</si>
  <si>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</si>
  <si>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</si>
  <si>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</si>
  <si>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</si>
  <si>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</si>
  <si>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</si>
  <si>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</si>
  <si>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</si>
  <si>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</si>
  <si>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</si>
  <si>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</si>
  <si>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</si>
  <si>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</si>
  <si>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</si>
  <si>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</si>
  <si>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</si>
  <si>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</si>
  <si>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</si>
  <si>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</si>
  <si>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</si>
  <si>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</si>
  <si>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</si>
  <si>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</si>
  <si>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</si>
  <si>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</si>
  <si>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</si>
  <si>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 xml:space="preserve">数据中心灾备
</t>
    <phoneticPr fontId="1" type="noConversion"/>
  </si>
  <si>
    <t>RTN</t>
    <phoneticPr fontId="1" type="noConversion"/>
  </si>
  <si>
    <t>OM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</si>
  <si>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</si>
  <si>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</si>
  <si>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</si>
  <si>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</si>
  <si>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</si>
  <si>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</si>
  <si>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</si>
  <si>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 xml:space="preserve">OM提供“主机监控管理”（主机状态，内存，CPU利用率，磁盘等）
</t>
    <phoneticPr fontId="1" type="noConversion"/>
  </si>
  <si>
    <t>OM HA</t>
    <phoneticPr fontId="1" type="noConversion"/>
  </si>
  <si>
    <r>
      <t>SequoiaDB</t>
    </r>
    <r>
      <rPr>
        <b/>
        <sz val="11"/>
        <color rgb="FFFF0000"/>
        <rFont val="宋体"/>
        <family val="3"/>
        <charset val="134"/>
        <scheme val="minor"/>
      </rPr>
      <t>业务操作</t>
    </r>
    <r>
      <rPr>
        <sz val="11"/>
        <color theme="1"/>
        <rFont val="宋体"/>
        <family val="2"/>
        <charset val="134"/>
        <scheme val="minor"/>
      </rPr>
      <t xml:space="preserve">管理（CollectionSpace, Collection, Group, Domain, Record等，性能监控，扩容减容）
</t>
    </r>
    <phoneticPr fontId="1" type="noConversion"/>
  </si>
  <si>
    <t>注册成OM业务，能访问自身监控页面</t>
    <phoneticPr fontId="1" type="noConversion"/>
  </si>
</sst>
</file>

<file path=xl/styles.xml><?xml version="1.0" encoding="utf-8"?>
<styleSheet xmlns="http://schemas.openxmlformats.org/spreadsheetml/2006/main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  <font>
      <b/>
      <sz val="11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18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://jira:8080/browse/SEQUOIADBMAINSTREAM-742" TargetMode="External"/><Relationship Id="rId1" Type="http://schemas.openxmlformats.org/officeDocument/2006/relationships/hyperlink" Target="http://jira:8080/browse/SEQUOIADBMAINSTREAM-6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2" activePane="bottomLeft" state="frozen"/>
      <selection pane="bottomLeft" activeCell="B20" sqref="B2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/>
      <c r="K7" s="2"/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199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183" priority="1" stopIfTrue="1">
      <formula>$K2="HANG-UP"</formula>
    </cfRule>
    <cfRule type="expression" dxfId="182" priority="2" stopIfTrue="1">
      <formula>$K2="PLAN"</formula>
    </cfRule>
    <cfRule type="expression" dxfId="181" priority="3" stopIfTrue="1">
      <formula>$K2="OPEN"</formula>
    </cfRule>
    <cfRule type="expression" dxfId="18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4" sqref="B1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281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79" priority="21" stopIfTrue="1">
      <formula>$J2="HANG-UP"</formula>
    </cfRule>
    <cfRule type="expression" dxfId="178" priority="22" stopIfTrue="1">
      <formula>$J2="PLAN"</formula>
    </cfRule>
    <cfRule type="expression" dxfId="177" priority="23" stopIfTrue="1">
      <formula>$J2="OPEN"</formula>
    </cfRule>
    <cfRule type="expression" dxfId="17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8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164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167</v>
      </c>
      <c r="C2" s="8"/>
      <c r="D2" s="8"/>
      <c r="E2" s="8" t="s">
        <v>279</v>
      </c>
      <c r="F2" s="2" t="s">
        <v>64</v>
      </c>
      <c r="G2" s="2" t="s">
        <v>12</v>
      </c>
      <c r="H2" s="2" t="s">
        <v>13</v>
      </c>
      <c r="I2" s="2">
        <v>10</v>
      </c>
      <c r="J2" s="2"/>
      <c r="K2" s="2"/>
      <c r="L2" s="2"/>
      <c r="M2" s="3"/>
    </row>
    <row r="3" spans="1:13" ht="40.5" hidden="1">
      <c r="A3" s="1">
        <v>3</v>
      </c>
      <c r="B3" s="8" t="s">
        <v>168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3" ht="40.5" hidden="1">
      <c r="A4" s="27">
        <v>4</v>
      </c>
      <c r="B4" s="28" t="s">
        <v>169</v>
      </c>
      <c r="C4" s="28"/>
      <c r="D4" s="28"/>
      <c r="E4" s="28"/>
      <c r="F4" s="29" t="s">
        <v>75</v>
      </c>
      <c r="G4" s="29" t="s">
        <v>22</v>
      </c>
      <c r="H4" s="29" t="s">
        <v>170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171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>
        <v>16</v>
      </c>
      <c r="J5" s="2"/>
      <c r="K5" s="2"/>
      <c r="L5" s="2"/>
      <c r="M5" s="3"/>
    </row>
    <row r="6" spans="1:13" ht="54">
      <c r="A6" s="1">
        <v>7</v>
      </c>
      <c r="B6" s="8" t="s">
        <v>213</v>
      </c>
      <c r="C6" s="8"/>
      <c r="D6" s="8"/>
      <c r="E6" s="8" t="s">
        <v>279</v>
      </c>
      <c r="F6" s="2" t="s">
        <v>49</v>
      </c>
      <c r="G6" s="2" t="s">
        <v>12</v>
      </c>
      <c r="H6" s="2" t="s">
        <v>74</v>
      </c>
      <c r="I6" s="2">
        <v>10</v>
      </c>
      <c r="J6" s="2"/>
      <c r="K6" s="2"/>
      <c r="L6" s="2"/>
      <c r="M6" s="3"/>
    </row>
    <row r="7" spans="1:13" ht="40.5" hidden="1">
      <c r="A7" s="1">
        <v>10</v>
      </c>
      <c r="B7" s="8" t="s">
        <v>174</v>
      </c>
      <c r="C7" s="8"/>
      <c r="D7" s="8"/>
      <c r="E7" s="8"/>
      <c r="F7" s="2" t="s">
        <v>75</v>
      </c>
      <c r="G7" s="2" t="s">
        <v>16</v>
      </c>
      <c r="H7" s="2" t="s">
        <v>170</v>
      </c>
      <c r="I7" s="2"/>
      <c r="J7" s="2"/>
      <c r="K7" s="2"/>
      <c r="L7" s="2"/>
      <c r="M7" s="3"/>
    </row>
    <row r="8" spans="1:13" ht="27" hidden="1">
      <c r="A8" s="1">
        <v>13</v>
      </c>
      <c r="B8" s="8" t="s">
        <v>175</v>
      </c>
      <c r="C8" s="8"/>
      <c r="D8" s="8"/>
      <c r="E8" s="8"/>
      <c r="F8" s="2" t="s">
        <v>64</v>
      </c>
      <c r="G8" s="2" t="s">
        <v>16</v>
      </c>
      <c r="H8" s="2" t="s">
        <v>176</v>
      </c>
      <c r="I8" s="2"/>
      <c r="J8" s="2"/>
      <c r="K8" s="2"/>
      <c r="L8" s="2"/>
      <c r="M8" s="3"/>
    </row>
    <row r="9" spans="1:13" ht="54" hidden="1">
      <c r="A9" s="1">
        <v>14</v>
      </c>
      <c r="B9" s="8" t="s">
        <v>177</v>
      </c>
      <c r="C9" s="8"/>
      <c r="D9" s="8"/>
      <c r="E9" s="8"/>
      <c r="F9" s="2" t="s">
        <v>64</v>
      </c>
      <c r="G9" s="2" t="s">
        <v>16</v>
      </c>
      <c r="H9" s="2" t="s">
        <v>178</v>
      </c>
      <c r="I9" s="2"/>
      <c r="J9" s="2"/>
      <c r="K9" s="2"/>
      <c r="L9" s="2"/>
      <c r="M9" s="3"/>
    </row>
    <row r="10" spans="1:13" ht="40.5">
      <c r="A10" s="27">
        <v>16</v>
      </c>
      <c r="B10" s="28" t="s">
        <v>280</v>
      </c>
      <c r="C10" s="28"/>
      <c r="D10" s="28"/>
      <c r="E10" s="8" t="s">
        <v>279</v>
      </c>
      <c r="F10" s="29" t="s">
        <v>41</v>
      </c>
      <c r="G10" s="29" t="s">
        <v>12</v>
      </c>
      <c r="H10" s="29" t="s">
        <v>45</v>
      </c>
      <c r="I10" s="29">
        <v>25</v>
      </c>
      <c r="J10" s="29"/>
      <c r="K10" s="29"/>
      <c r="L10" s="29"/>
      <c r="M10" s="31"/>
    </row>
    <row r="11" spans="1:13" ht="27" hidden="1">
      <c r="A11" s="27">
        <v>17</v>
      </c>
      <c r="B11" s="28" t="s">
        <v>180</v>
      </c>
      <c r="C11" s="28"/>
      <c r="D11" s="28"/>
      <c r="E11" s="28"/>
      <c r="F11" s="29" t="s">
        <v>75</v>
      </c>
      <c r="G11" s="29" t="s">
        <v>16</v>
      </c>
      <c r="H11" s="29" t="s">
        <v>181</v>
      </c>
      <c r="I11" s="29"/>
      <c r="J11" s="29"/>
      <c r="K11" s="29"/>
      <c r="L11" s="29"/>
      <c r="M11" s="31"/>
    </row>
    <row r="12" spans="1:13" ht="27" hidden="1">
      <c r="A12" s="1">
        <v>18</v>
      </c>
      <c r="B12" s="8" t="s">
        <v>182</v>
      </c>
      <c r="C12" s="8"/>
      <c r="D12" s="8"/>
      <c r="E12" s="8"/>
      <c r="F12" s="2" t="s">
        <v>32</v>
      </c>
      <c r="G12" s="2" t="s">
        <v>16</v>
      </c>
      <c r="H12" s="2" t="s">
        <v>76</v>
      </c>
      <c r="I12" s="2"/>
      <c r="J12" s="2"/>
      <c r="K12" s="2"/>
      <c r="L12" s="2"/>
      <c r="M12" s="3"/>
    </row>
    <row r="13" spans="1:13" ht="40.5" hidden="1">
      <c r="A13" s="1">
        <v>19</v>
      </c>
      <c r="B13" s="8" t="s">
        <v>183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3" ht="27" hidden="1">
      <c r="A14" s="1">
        <v>20</v>
      </c>
      <c r="B14" s="8" t="s">
        <v>184</v>
      </c>
      <c r="C14" s="8"/>
      <c r="D14" s="8"/>
      <c r="E14" s="8"/>
      <c r="F14" s="2" t="s">
        <v>64</v>
      </c>
      <c r="G14" s="2" t="s">
        <v>16</v>
      </c>
      <c r="H14" s="2" t="s">
        <v>170</v>
      </c>
      <c r="I14" s="2"/>
      <c r="J14" s="2"/>
      <c r="K14" s="2"/>
      <c r="L14" s="2"/>
      <c r="M14" s="3"/>
    </row>
    <row r="15" spans="1:13" ht="40.5">
      <c r="A15" s="1">
        <v>21</v>
      </c>
      <c r="B15" s="8" t="s">
        <v>230</v>
      </c>
      <c r="C15" s="8"/>
      <c r="D15" s="8"/>
      <c r="E15" s="8" t="s">
        <v>279</v>
      </c>
      <c r="F15" s="2" t="s">
        <v>49</v>
      </c>
      <c r="G15" s="2" t="s">
        <v>12</v>
      </c>
      <c r="H15" s="2" t="s">
        <v>74</v>
      </c>
      <c r="I15" s="2">
        <v>22</v>
      </c>
      <c r="J15" s="2"/>
      <c r="K15" s="2"/>
      <c r="L15" s="2"/>
      <c r="M15" s="3"/>
    </row>
    <row r="16" spans="1:13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185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186</v>
      </c>
      <c r="C18" s="8"/>
      <c r="D18" s="8"/>
      <c r="E18" s="8"/>
      <c r="F18" s="2" t="s">
        <v>75</v>
      </c>
      <c r="G18" s="2" t="s">
        <v>16</v>
      </c>
      <c r="H18" s="2" t="s">
        <v>170</v>
      </c>
      <c r="I18" s="2"/>
      <c r="J18" s="2"/>
      <c r="K18" s="2"/>
      <c r="L18" s="2"/>
      <c r="M18" s="3"/>
    </row>
    <row r="19" spans="1:13" ht="40.5" hidden="1">
      <c r="A19" s="1">
        <v>26</v>
      </c>
      <c r="B19" s="8" t="s">
        <v>188</v>
      </c>
      <c r="C19" s="8"/>
      <c r="D19" s="8"/>
      <c r="E19" s="8"/>
      <c r="F19" s="2" t="s">
        <v>64</v>
      </c>
      <c r="G19" s="2" t="s">
        <v>16</v>
      </c>
      <c r="H19" s="2" t="s">
        <v>170</v>
      </c>
      <c r="I19" s="2"/>
      <c r="J19" s="2"/>
      <c r="K19" s="2"/>
      <c r="L19" s="2"/>
      <c r="M19" s="3"/>
    </row>
    <row r="20" spans="1:13" ht="40.5">
      <c r="A20" s="1">
        <v>28</v>
      </c>
      <c r="B20" s="8" t="s">
        <v>190</v>
      </c>
      <c r="C20" s="8"/>
      <c r="D20" s="8"/>
      <c r="E20" s="8" t="s">
        <v>279</v>
      </c>
      <c r="F20" s="2" t="s">
        <v>49</v>
      </c>
      <c r="G20" s="2" t="s">
        <v>12</v>
      </c>
      <c r="H20" s="2" t="s">
        <v>51</v>
      </c>
      <c r="I20" s="2">
        <v>16</v>
      </c>
      <c r="J20" s="2"/>
      <c r="K20" s="2"/>
      <c r="L20" s="21"/>
      <c r="M20" s="3"/>
    </row>
    <row r="21" spans="1:13" ht="40.5" hidden="1">
      <c r="A21" s="1">
        <v>29</v>
      </c>
      <c r="B21" s="8" t="s">
        <v>191</v>
      </c>
      <c r="C21" s="8"/>
      <c r="D21" s="8"/>
      <c r="E21" s="8"/>
      <c r="F21" s="2" t="s">
        <v>32</v>
      </c>
      <c r="G21" s="2" t="s">
        <v>16</v>
      </c>
      <c r="H21" s="2" t="s">
        <v>192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193</v>
      </c>
      <c r="C22" s="8"/>
      <c r="D22" s="8"/>
      <c r="E22" s="8"/>
      <c r="F22" s="2" t="s">
        <v>32</v>
      </c>
      <c r="G22" s="2" t="s">
        <v>16</v>
      </c>
      <c r="H22" s="2" t="s">
        <v>76</v>
      </c>
      <c r="I22" s="2"/>
      <c r="J22" s="2"/>
      <c r="K22" s="2"/>
      <c r="L22" s="2"/>
      <c r="M22" s="3"/>
    </row>
    <row r="23" spans="1:13" ht="27" hidden="1">
      <c r="A23" s="1">
        <v>31</v>
      </c>
      <c r="B23" s="8" t="s">
        <v>194</v>
      </c>
      <c r="C23" s="8"/>
      <c r="D23" s="8"/>
      <c r="E23" s="8"/>
      <c r="F23" s="2" t="s">
        <v>64</v>
      </c>
      <c r="G23" s="2" t="s">
        <v>16</v>
      </c>
      <c r="H23" s="2" t="s">
        <v>195</v>
      </c>
      <c r="I23" s="2"/>
      <c r="J23" s="2"/>
      <c r="K23" s="2"/>
      <c r="L23" s="2"/>
      <c r="M23" s="3"/>
    </row>
    <row r="24" spans="1:13" ht="27">
      <c r="A24" s="1">
        <v>34</v>
      </c>
      <c r="B24" s="8" t="s">
        <v>204</v>
      </c>
      <c r="C24" s="8"/>
      <c r="D24" s="8"/>
      <c r="E24" s="8" t="s">
        <v>279</v>
      </c>
      <c r="F24" s="2" t="s">
        <v>75</v>
      </c>
      <c r="G24" s="2" t="s">
        <v>22</v>
      </c>
      <c r="H24" s="2" t="s">
        <v>205</v>
      </c>
      <c r="I24" s="2">
        <v>2</v>
      </c>
      <c r="J24" s="2"/>
      <c r="K24" s="2"/>
      <c r="L24" s="2"/>
      <c r="M24" s="3"/>
    </row>
    <row r="25" spans="1:13" ht="40.5">
      <c r="A25" s="1">
        <v>35</v>
      </c>
      <c r="B25" s="8" t="s">
        <v>231</v>
      </c>
      <c r="C25" s="8"/>
      <c r="D25" s="8"/>
      <c r="E25" s="8" t="s">
        <v>279</v>
      </c>
      <c r="F25" s="2" t="s">
        <v>75</v>
      </c>
      <c r="G25" s="2" t="s">
        <v>22</v>
      </c>
      <c r="H25" s="2" t="s">
        <v>203</v>
      </c>
      <c r="I25" s="2">
        <v>3</v>
      </c>
      <c r="J25" s="2"/>
      <c r="K25" s="2"/>
      <c r="L25" s="2"/>
      <c r="M25" s="3"/>
    </row>
    <row r="26" spans="1:13" ht="54" hidden="1">
      <c r="A26" s="1">
        <v>36</v>
      </c>
      <c r="B26" s="8" t="s">
        <v>206</v>
      </c>
      <c r="C26" s="8"/>
      <c r="D26" s="8"/>
      <c r="E26" s="8"/>
      <c r="F26" s="2" t="s">
        <v>32</v>
      </c>
      <c r="G26" s="2" t="s">
        <v>22</v>
      </c>
      <c r="H26" s="2" t="s">
        <v>207</v>
      </c>
      <c r="I26" s="2">
        <v>18</v>
      </c>
      <c r="J26" s="2"/>
      <c r="K26" s="2"/>
      <c r="L26" s="2"/>
      <c r="M26" s="3"/>
    </row>
    <row r="27" spans="1:13" ht="27" hidden="1">
      <c r="A27" s="1">
        <v>38</v>
      </c>
      <c r="B27" s="8" t="s">
        <v>210</v>
      </c>
      <c r="C27" s="8"/>
      <c r="D27" s="8"/>
      <c r="E27" s="8"/>
      <c r="F27" s="2" t="s">
        <v>41</v>
      </c>
      <c r="G27" s="2" t="s">
        <v>12</v>
      </c>
      <c r="H27" s="2" t="s">
        <v>211</v>
      </c>
      <c r="I27" s="2">
        <v>33</v>
      </c>
      <c r="J27" s="2"/>
      <c r="K27" s="2"/>
      <c r="L27" s="2"/>
      <c r="M27" s="3"/>
    </row>
    <row r="28" spans="1:13" ht="27" hidden="1">
      <c r="A28" s="1">
        <v>39</v>
      </c>
      <c r="B28" s="8" t="s">
        <v>212</v>
      </c>
      <c r="C28" s="8"/>
      <c r="D28" s="8"/>
      <c r="E28" s="8"/>
      <c r="F28" s="2" t="s">
        <v>41</v>
      </c>
      <c r="G28" s="2" t="s">
        <v>12</v>
      </c>
      <c r="H28" s="2" t="s">
        <v>211</v>
      </c>
      <c r="I28" s="2">
        <v>10</v>
      </c>
      <c r="J28" s="2"/>
      <c r="K28" s="2"/>
      <c r="L28" s="2"/>
      <c r="M28" s="3"/>
    </row>
    <row r="29" spans="1:13" ht="27" hidden="1">
      <c r="A29" s="13">
        <v>40</v>
      </c>
      <c r="B29" s="8" t="s">
        <v>215</v>
      </c>
      <c r="C29" s="8"/>
      <c r="D29" s="8"/>
      <c r="E29" s="8"/>
      <c r="F29" s="8" t="s">
        <v>41</v>
      </c>
      <c r="G29" s="8" t="s">
        <v>12</v>
      </c>
      <c r="H29" s="8" t="s">
        <v>211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217</v>
      </c>
      <c r="C30" s="8"/>
      <c r="D30" s="8"/>
      <c r="E30" s="8"/>
      <c r="F30" s="8" t="s">
        <v>64</v>
      </c>
      <c r="G30" s="8" t="s">
        <v>22</v>
      </c>
      <c r="H30" s="8" t="s">
        <v>218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219</v>
      </c>
      <c r="C31" s="8"/>
      <c r="D31" s="8"/>
      <c r="E31" s="8"/>
      <c r="F31" s="8" t="s">
        <v>64</v>
      </c>
      <c r="G31" s="8" t="s">
        <v>12</v>
      </c>
      <c r="H31" s="8" t="s">
        <v>220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221</v>
      </c>
      <c r="C32" s="8"/>
      <c r="D32" s="8"/>
      <c r="E32" s="8"/>
      <c r="F32" s="8" t="s">
        <v>64</v>
      </c>
      <c r="G32" s="8" t="s">
        <v>22</v>
      </c>
      <c r="H32" s="8" t="s">
        <v>222</v>
      </c>
      <c r="I32" s="8">
        <v>4</v>
      </c>
      <c r="J32" s="8"/>
      <c r="K32" s="8"/>
      <c r="L32" s="8"/>
      <c r="M32" s="14"/>
    </row>
    <row r="33" spans="1:13" ht="54">
      <c r="A33" s="13">
        <v>45</v>
      </c>
      <c r="B33" s="8" t="s">
        <v>223</v>
      </c>
      <c r="C33" s="8" t="s">
        <v>278</v>
      </c>
      <c r="D33" s="8"/>
      <c r="E33" s="8" t="s">
        <v>279</v>
      </c>
      <c r="F33" s="8" t="s">
        <v>75</v>
      </c>
      <c r="G33" s="8" t="s">
        <v>12</v>
      </c>
      <c r="H33" s="8" t="s">
        <v>224</v>
      </c>
      <c r="I33" s="8">
        <v>3</v>
      </c>
      <c r="J33" s="8"/>
      <c r="K33" s="8"/>
      <c r="L33" s="8"/>
      <c r="M33" s="14"/>
    </row>
    <row r="34" spans="1:13" ht="54" hidden="1">
      <c r="A34" s="13">
        <v>47</v>
      </c>
      <c r="B34" s="8" t="s">
        <v>226</v>
      </c>
      <c r="C34" s="8"/>
      <c r="D34" s="8"/>
      <c r="E34" s="8"/>
      <c r="F34" s="8" t="s">
        <v>64</v>
      </c>
      <c r="G34" s="8" t="s">
        <v>12</v>
      </c>
      <c r="H34" s="8" t="s">
        <v>224</v>
      </c>
      <c r="I34" s="8">
        <v>7</v>
      </c>
      <c r="J34" s="8"/>
      <c r="K34" s="8"/>
      <c r="L34" s="8"/>
      <c r="M34" s="14"/>
    </row>
    <row r="35" spans="1:13" ht="27" hidden="1">
      <c r="A35" s="13">
        <v>48</v>
      </c>
      <c r="B35" s="8" t="s">
        <v>227</v>
      </c>
      <c r="C35" s="8"/>
      <c r="D35" s="8"/>
      <c r="E35" s="8"/>
      <c r="F35" s="8" t="s">
        <v>64</v>
      </c>
      <c r="G35" s="8" t="s">
        <v>12</v>
      </c>
      <c r="H35" s="8" t="s">
        <v>203</v>
      </c>
      <c r="I35" s="8">
        <v>3</v>
      </c>
      <c r="J35" s="8"/>
      <c r="K35" s="8"/>
      <c r="L35" s="8"/>
      <c r="M35" s="14"/>
    </row>
    <row r="36" spans="1:13" ht="27" hidden="1">
      <c r="A36" s="13">
        <v>49</v>
      </c>
      <c r="B36" s="8" t="s">
        <v>228</v>
      </c>
      <c r="C36" s="8"/>
      <c r="D36" s="8"/>
      <c r="E36" s="8"/>
      <c r="F36" s="8" t="s">
        <v>64</v>
      </c>
      <c r="G36" s="8" t="s">
        <v>12</v>
      </c>
      <c r="H36" s="8" t="s">
        <v>203</v>
      </c>
      <c r="I36" s="8">
        <v>4</v>
      </c>
      <c r="J36" s="8"/>
      <c r="K36" s="8"/>
      <c r="L36" s="8"/>
      <c r="M36" s="14"/>
    </row>
    <row r="37" spans="1:13" ht="27">
      <c r="A37" s="13">
        <v>50</v>
      </c>
      <c r="B37" s="8" t="s">
        <v>229</v>
      </c>
      <c r="C37" s="8"/>
      <c r="D37" s="8"/>
      <c r="E37" s="8" t="s">
        <v>279</v>
      </c>
      <c r="F37" s="8" t="s">
        <v>64</v>
      </c>
      <c r="G37" s="8" t="s">
        <v>12</v>
      </c>
      <c r="H37" s="8" t="s">
        <v>224</v>
      </c>
      <c r="I37" s="8">
        <v>3</v>
      </c>
      <c r="J37" s="8"/>
      <c r="K37" s="8"/>
      <c r="L37" s="8"/>
      <c r="M37" s="14"/>
    </row>
    <row r="38" spans="1:13" ht="40.5" hidden="1">
      <c r="A38" s="13">
        <v>54</v>
      </c>
      <c r="B38" s="8" t="s">
        <v>245</v>
      </c>
      <c r="C38" s="8"/>
      <c r="D38" s="8"/>
      <c r="E38" s="8"/>
      <c r="F38" s="8" t="s">
        <v>64</v>
      </c>
      <c r="G38" s="8" t="s">
        <v>22</v>
      </c>
      <c r="H38" s="8"/>
      <c r="I38" s="8"/>
      <c r="J38" s="8"/>
      <c r="K38" s="8"/>
      <c r="L38" s="8"/>
      <c r="M38" s="14"/>
    </row>
    <row r="39" spans="1:13" ht="40.5">
      <c r="A39" s="13">
        <v>55</v>
      </c>
      <c r="B39" s="8" t="s">
        <v>256</v>
      </c>
      <c r="C39" s="8"/>
      <c r="D39" s="35" t="s">
        <v>258</v>
      </c>
      <c r="E39" s="8" t="s">
        <v>279</v>
      </c>
      <c r="F39" s="8" t="s">
        <v>64</v>
      </c>
      <c r="G39" s="8" t="s">
        <v>22</v>
      </c>
      <c r="H39" s="8" t="s">
        <v>257</v>
      </c>
      <c r="I39" s="8">
        <v>7</v>
      </c>
      <c r="J39" s="8" t="s">
        <v>261</v>
      </c>
      <c r="K39" s="8" t="s">
        <v>58</v>
      </c>
      <c r="L39" s="8"/>
      <c r="M39" s="14"/>
    </row>
    <row r="40" spans="1:13" ht="121.5">
      <c r="A40" s="1">
        <v>56</v>
      </c>
      <c r="B40" s="8" t="s">
        <v>83</v>
      </c>
      <c r="C40" s="8" t="s">
        <v>262</v>
      </c>
      <c r="D40" s="35" t="s">
        <v>259</v>
      </c>
      <c r="E40" s="8" t="s">
        <v>279</v>
      </c>
      <c r="F40" s="2" t="s">
        <v>14</v>
      </c>
      <c r="G40" s="2" t="s">
        <v>22</v>
      </c>
      <c r="H40" s="2" t="s">
        <v>13</v>
      </c>
      <c r="I40" s="2">
        <v>18</v>
      </c>
      <c r="J40" s="2" t="s">
        <v>260</v>
      </c>
      <c r="K40" s="2" t="s">
        <v>58</v>
      </c>
      <c r="L40" s="2"/>
      <c r="M40" s="3"/>
    </row>
    <row r="41" spans="1:13" ht="67.5">
      <c r="A41" s="27">
        <v>57</v>
      </c>
      <c r="B41" s="28" t="s">
        <v>263</v>
      </c>
      <c r="C41" s="28" t="s">
        <v>264</v>
      </c>
      <c r="D41" s="28"/>
      <c r="E41" s="8" t="s">
        <v>279</v>
      </c>
      <c r="F41" s="29" t="s">
        <v>75</v>
      </c>
      <c r="G41" s="29" t="s">
        <v>22</v>
      </c>
      <c r="H41" s="29" t="s">
        <v>20</v>
      </c>
      <c r="I41" s="29">
        <v>2</v>
      </c>
      <c r="J41" s="29" t="s">
        <v>78</v>
      </c>
      <c r="K41" s="29" t="s">
        <v>58</v>
      </c>
      <c r="L41" s="30"/>
      <c r="M41" s="31"/>
    </row>
    <row r="42" spans="1:13" ht="94.5">
      <c r="A42" s="13">
        <v>58</v>
      </c>
      <c r="B42" s="8" t="s">
        <v>265</v>
      </c>
      <c r="C42" s="8" t="s">
        <v>266</v>
      </c>
      <c r="D42" s="8"/>
      <c r="E42" s="8" t="s">
        <v>279</v>
      </c>
      <c r="F42" s="8" t="s">
        <v>41</v>
      </c>
      <c r="G42" s="8" t="s">
        <v>22</v>
      </c>
      <c r="H42" s="8" t="s">
        <v>267</v>
      </c>
      <c r="I42" s="8">
        <v>120</v>
      </c>
      <c r="J42" s="8"/>
      <c r="K42" s="8" t="s">
        <v>58</v>
      </c>
      <c r="L42" s="8"/>
      <c r="M42" s="14"/>
    </row>
    <row r="43" spans="1:13" ht="27">
      <c r="A43" s="13">
        <v>59</v>
      </c>
      <c r="B43" s="8" t="s">
        <v>269</v>
      </c>
      <c r="C43" s="8" t="s">
        <v>283</v>
      </c>
      <c r="D43" s="8"/>
      <c r="E43" s="8" t="s">
        <v>279</v>
      </c>
      <c r="F43" s="8" t="s">
        <v>64</v>
      </c>
      <c r="G43" s="8" t="s">
        <v>22</v>
      </c>
      <c r="H43" s="8" t="s">
        <v>268</v>
      </c>
      <c r="I43" s="8">
        <v>90</v>
      </c>
      <c r="J43" s="8"/>
      <c r="K43" s="8"/>
      <c r="L43" s="8"/>
      <c r="M43" s="14"/>
    </row>
    <row r="44" spans="1:13" ht="27">
      <c r="A44" s="13">
        <v>60</v>
      </c>
      <c r="B44" s="8" t="s">
        <v>270</v>
      </c>
      <c r="C44" s="8"/>
      <c r="D44" s="8"/>
      <c r="E44" s="8" t="s">
        <v>279</v>
      </c>
      <c r="F44" s="8" t="s">
        <v>64</v>
      </c>
      <c r="G44" s="8" t="s">
        <v>22</v>
      </c>
      <c r="H44" s="8" t="s">
        <v>271</v>
      </c>
      <c r="I44" s="8">
        <v>20</v>
      </c>
      <c r="J44" s="8" t="s">
        <v>260</v>
      </c>
      <c r="K44" s="8" t="s">
        <v>58</v>
      </c>
      <c r="L44" s="8"/>
      <c r="M44" s="14"/>
    </row>
    <row r="45" spans="1:13" ht="54">
      <c r="A45" s="13">
        <v>61</v>
      </c>
      <c r="B45" s="8" t="s">
        <v>282</v>
      </c>
      <c r="C45" s="8"/>
      <c r="D45" s="8"/>
      <c r="E45" s="8" t="s">
        <v>279</v>
      </c>
      <c r="F45" s="8" t="s">
        <v>64</v>
      </c>
      <c r="G45" s="8" t="s">
        <v>22</v>
      </c>
      <c r="H45" s="8" t="s">
        <v>272</v>
      </c>
      <c r="I45" s="8">
        <v>100</v>
      </c>
      <c r="J45" s="8"/>
      <c r="K45" s="8"/>
      <c r="L45" s="8"/>
      <c r="M45" s="14"/>
    </row>
    <row r="46" spans="1:13" ht="27">
      <c r="A46" s="13">
        <v>62</v>
      </c>
      <c r="B46" s="8" t="s">
        <v>273</v>
      </c>
      <c r="C46" s="8"/>
      <c r="D46" s="8"/>
      <c r="E46" s="8" t="s">
        <v>279</v>
      </c>
      <c r="F46" s="8" t="s">
        <v>64</v>
      </c>
      <c r="G46" s="8" t="s">
        <v>22</v>
      </c>
      <c r="H46" s="8" t="s">
        <v>274</v>
      </c>
      <c r="I46" s="8">
        <v>140</v>
      </c>
      <c r="J46" s="8"/>
      <c r="K46" s="8"/>
      <c r="L46" s="8"/>
      <c r="M46" s="14"/>
    </row>
    <row r="47" spans="1:13" ht="27">
      <c r="A47" s="13">
        <v>63</v>
      </c>
      <c r="B47" s="8" t="s">
        <v>275</v>
      </c>
      <c r="C47" s="8"/>
      <c r="D47" s="8"/>
      <c r="E47" s="8" t="s">
        <v>279</v>
      </c>
      <c r="F47" s="8" t="s">
        <v>14</v>
      </c>
      <c r="G47" s="8" t="s">
        <v>12</v>
      </c>
      <c r="H47" s="8" t="s">
        <v>271</v>
      </c>
      <c r="I47" s="8">
        <v>20</v>
      </c>
      <c r="J47" s="8"/>
      <c r="K47" s="8"/>
      <c r="L47" s="8"/>
      <c r="M47" s="14"/>
    </row>
    <row r="48" spans="1:13" ht="27">
      <c r="A48" s="1">
        <v>64</v>
      </c>
      <c r="B48" s="8" t="s">
        <v>39</v>
      </c>
      <c r="C48" s="8" t="s">
        <v>277</v>
      </c>
      <c r="D48" s="8"/>
      <c r="E48" s="8" t="s">
        <v>279</v>
      </c>
      <c r="F48" s="2" t="s">
        <v>32</v>
      </c>
      <c r="G48" s="2" t="s">
        <v>22</v>
      </c>
      <c r="H48" s="2" t="s">
        <v>34</v>
      </c>
      <c r="I48" s="2">
        <v>4</v>
      </c>
      <c r="J48" s="2"/>
      <c r="K48" s="2"/>
      <c r="L48" s="2"/>
      <c r="M48" s="3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 ht="14.25" thickBot="1">
      <c r="A80" s="15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7"/>
    </row>
  </sheetData>
  <autoFilter ref="A1:M48">
    <filterColumn colId="4">
      <customFilters>
        <customFilter operator="notEqual" val=" "/>
      </customFilters>
    </filterColumn>
    <filterColumn colId="6"/>
    <sortState ref="A2:M48">
      <sortCondition ref="A1:A48"/>
    </sortState>
  </autoFilter>
  <phoneticPr fontId="1" type="noConversion"/>
  <conditionalFormatting sqref="A2:M191">
    <cfRule type="expression" dxfId="175" priority="21" stopIfTrue="1">
      <formula>$K2="HANG-UP"</formula>
    </cfRule>
    <cfRule type="expression" dxfId="174" priority="22" stopIfTrue="1">
      <formula>$K2="PLAN"</formula>
    </cfRule>
    <cfRule type="expression" dxfId="173" priority="23" stopIfTrue="1">
      <formula>$K2="OPEN"</formula>
    </cfRule>
    <cfRule type="expression" dxfId="172" priority="24" stopIfTrue="1">
      <formula>OR($K2="CLOSED",$K2="CANCEL")</formula>
    </cfRule>
  </conditionalFormatting>
  <conditionalFormatting sqref="A7:M7">
    <cfRule type="expression" dxfId="171" priority="17" stopIfTrue="1">
      <formula>$K7="HANG-UP"</formula>
    </cfRule>
    <cfRule type="expression" dxfId="170" priority="18" stopIfTrue="1">
      <formula>$K7="PLAN"</formula>
    </cfRule>
    <cfRule type="expression" dxfId="169" priority="19" stopIfTrue="1">
      <formula>$K7="OPEN"</formula>
    </cfRule>
    <cfRule type="expression" dxfId="168" priority="20" stopIfTrue="1">
      <formula>OR($K7="CLOSED",$K7="CANCEL")</formula>
    </cfRule>
  </conditionalFormatting>
  <conditionalFormatting sqref="A40:M40">
    <cfRule type="expression" dxfId="167" priority="13" stopIfTrue="1">
      <formula>$K40="HANG-UP"</formula>
    </cfRule>
    <cfRule type="expression" dxfId="166" priority="14" stopIfTrue="1">
      <formula>$K40="PLAN"</formula>
    </cfRule>
    <cfRule type="expression" dxfId="165" priority="15" stopIfTrue="1">
      <formula>$K40="OPEN"</formula>
    </cfRule>
    <cfRule type="expression" dxfId="164" priority="16" stopIfTrue="1">
      <formula>OR($K40="CLOSED",$K40="CANCEL")</formula>
    </cfRule>
  </conditionalFormatting>
  <conditionalFormatting sqref="A41:M41">
    <cfRule type="expression" dxfId="163" priority="9" stopIfTrue="1">
      <formula>$K41="HANG-UP"</formula>
    </cfRule>
    <cfRule type="expression" dxfId="162" priority="10" stopIfTrue="1">
      <formula>$K41="PLAN"</formula>
    </cfRule>
    <cfRule type="expression" dxfId="161" priority="11" stopIfTrue="1">
      <formula>$K41="OPEN"</formula>
    </cfRule>
    <cfRule type="expression" dxfId="160" priority="12" stopIfTrue="1">
      <formula>OR($K41="CLOSED",$K41="CANCEL")</formula>
    </cfRule>
  </conditionalFormatting>
  <conditionalFormatting sqref="E41">
    <cfRule type="expression" dxfId="159" priority="5" stopIfTrue="1">
      <formula>$K41="HANG-UP"</formula>
    </cfRule>
    <cfRule type="expression" dxfId="158" priority="6" stopIfTrue="1">
      <formula>$K41="PLAN"</formula>
    </cfRule>
    <cfRule type="expression" dxfId="157" priority="7" stopIfTrue="1">
      <formula>$K41="OPEN"</formula>
    </cfRule>
    <cfRule type="expression" dxfId="156" priority="8" stopIfTrue="1">
      <formula>OR($K41="CLOSED",$K41="CANCEL")</formula>
    </cfRule>
  </conditionalFormatting>
  <conditionalFormatting sqref="A48:M48">
    <cfRule type="expression" dxfId="155" priority="1" stopIfTrue="1">
      <formula>$K48="HANG-UP"</formula>
    </cfRule>
    <cfRule type="expression" dxfId="154" priority="2" stopIfTrue="1">
      <formula>$K48="PLAN"</formula>
    </cfRule>
    <cfRule type="expression" dxfId="153" priority="3" stopIfTrue="1">
      <formula>$K48="OPEN"</formula>
    </cfRule>
    <cfRule type="expression" dxfId="152" priority="4" stopIfTrue="1">
      <formula>OR($K48="CLOSED",$K48="CANCEL")</formula>
    </cfRule>
  </conditionalFormatting>
  <dataValidations count="3">
    <dataValidation type="list" allowBlank="1" showInputMessage="1" showErrorMessage="1" sqref="F2:F80">
      <formula1>"Bug,可靠性,性能,可维护性,易用性,可测试性,功能,优化"</formula1>
    </dataValidation>
    <dataValidation type="list" allowBlank="1" showInputMessage="1" showErrorMessage="1" sqref="G2:G80">
      <formula1>"高,中,低"</formula1>
    </dataValidation>
    <dataValidation type="list" allowBlank="1" showInputMessage="1" showErrorMessage="1" sqref="K2:K80">
      <formula1>"PLAN,OPEN,CANCEL,CLOSED,HANG-UP"</formula1>
    </dataValidation>
  </dataValidations>
  <hyperlinks>
    <hyperlink ref="D39" r:id="rId1"/>
    <hyperlink ref="D40" r:id="rId2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47" activePane="bottomLeft" state="frozen"/>
      <selection pane="bottomLeft" activeCell="A54" sqref="A54:XFD54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165</v>
      </c>
      <c r="C32" s="8"/>
      <c r="D32" s="8"/>
      <c r="E32" s="8" t="s">
        <v>166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196</v>
      </c>
      <c r="K32" s="2" t="s">
        <v>79</v>
      </c>
      <c r="L32" s="2"/>
      <c r="M32" s="3"/>
    </row>
    <row r="33" spans="1:13" ht="54">
      <c r="A33" s="1">
        <v>6</v>
      </c>
      <c r="B33" s="8" t="s">
        <v>172</v>
      </c>
      <c r="C33" s="8"/>
      <c r="D33" s="8"/>
      <c r="E33" s="8" t="s">
        <v>166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197</v>
      </c>
      <c r="K33" s="2" t="s">
        <v>79</v>
      </c>
      <c r="L33" s="2"/>
      <c r="M33" s="3"/>
    </row>
    <row r="34" spans="1:13" ht="54">
      <c r="A34" s="1">
        <v>9</v>
      </c>
      <c r="B34" s="8" t="s">
        <v>173</v>
      </c>
      <c r="C34" s="8"/>
      <c r="D34" s="8"/>
      <c r="E34" s="8" t="s">
        <v>166</v>
      </c>
      <c r="F34" s="2" t="s">
        <v>11</v>
      </c>
      <c r="G34" s="2" t="s">
        <v>22</v>
      </c>
      <c r="H34" s="2" t="s">
        <v>170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179</v>
      </c>
      <c r="C35" s="8"/>
      <c r="D35" s="8"/>
      <c r="E35" s="8" t="s">
        <v>166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198</v>
      </c>
      <c r="K35" s="2" t="s">
        <v>79</v>
      </c>
      <c r="L35" s="2"/>
      <c r="M35" s="3"/>
    </row>
    <row r="36" spans="1:13" ht="54">
      <c r="A36" s="1">
        <v>25</v>
      </c>
      <c r="B36" s="8" t="s">
        <v>187</v>
      </c>
      <c r="C36" s="8"/>
      <c r="D36" s="8"/>
      <c r="E36" s="8" t="s">
        <v>166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239</v>
      </c>
      <c r="K36" s="2" t="s">
        <v>79</v>
      </c>
      <c r="L36" s="2"/>
      <c r="M36" s="3"/>
    </row>
    <row r="37" spans="1:13" ht="40.5">
      <c r="A37" s="1">
        <v>11</v>
      </c>
      <c r="B37" s="8" t="s">
        <v>238</v>
      </c>
      <c r="C37" s="8"/>
      <c r="D37" s="8" t="s">
        <v>237</v>
      </c>
      <c r="E37" s="8" t="s">
        <v>202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240</v>
      </c>
      <c r="K37" s="2" t="s">
        <v>79</v>
      </c>
      <c r="L37" s="2"/>
      <c r="M37" s="3"/>
    </row>
    <row r="38" spans="1:13" ht="27">
      <c r="A38" s="1">
        <v>27</v>
      </c>
      <c r="B38" s="8" t="s">
        <v>189</v>
      </c>
      <c r="C38" s="8"/>
      <c r="D38" s="8" t="s">
        <v>234</v>
      </c>
      <c r="E38" s="8" t="s">
        <v>202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235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225</v>
      </c>
      <c r="C39" s="8"/>
      <c r="D39" s="8" t="s">
        <v>233</v>
      </c>
      <c r="E39" s="8" t="s">
        <v>200</v>
      </c>
      <c r="F39" s="8" t="s">
        <v>64</v>
      </c>
      <c r="G39" s="8" t="s">
        <v>22</v>
      </c>
      <c r="H39" s="8" t="s">
        <v>220</v>
      </c>
      <c r="I39" s="8">
        <v>5</v>
      </c>
      <c r="J39" s="8" t="s">
        <v>235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248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251</v>
      </c>
      <c r="K40" s="8" t="s">
        <v>79</v>
      </c>
      <c r="L40" s="8"/>
      <c r="M40" s="14"/>
    </row>
    <row r="41" spans="1:13" ht="27">
      <c r="A41" s="13">
        <v>53</v>
      </c>
      <c r="B41" s="8" t="s">
        <v>244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251</v>
      </c>
      <c r="K41" s="8" t="s">
        <v>79</v>
      </c>
      <c r="L41" s="8"/>
      <c r="M41" s="14"/>
    </row>
    <row r="42" spans="1:13" ht="27">
      <c r="A42" s="1">
        <v>37</v>
      </c>
      <c r="B42" s="8" t="s">
        <v>208</v>
      </c>
      <c r="C42" s="8"/>
      <c r="D42" s="8"/>
      <c r="E42" s="8" t="s">
        <v>200</v>
      </c>
      <c r="F42" s="2" t="s">
        <v>64</v>
      </c>
      <c r="G42" s="2" t="s">
        <v>22</v>
      </c>
      <c r="H42" s="2" t="s">
        <v>209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201</v>
      </c>
      <c r="C43" s="8"/>
      <c r="D43" s="8" t="s">
        <v>232</v>
      </c>
      <c r="E43" s="8" t="s">
        <v>200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236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214</v>
      </c>
      <c r="C44" s="8"/>
      <c r="D44" s="8"/>
      <c r="E44" s="8" t="s">
        <v>200</v>
      </c>
      <c r="F44" s="2" t="s">
        <v>64</v>
      </c>
      <c r="G44" s="2" t="s">
        <v>12</v>
      </c>
      <c r="H44" s="2" t="s">
        <v>203</v>
      </c>
      <c r="I44" s="2">
        <v>5</v>
      </c>
      <c r="J44" s="2" t="s">
        <v>249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254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253</v>
      </c>
      <c r="K48" s="2" t="s">
        <v>79</v>
      </c>
      <c r="L48" s="2"/>
      <c r="M48" s="3"/>
    </row>
    <row r="49" spans="1:13" ht="27">
      <c r="A49" s="13">
        <v>41</v>
      </c>
      <c r="B49" s="8" t="s">
        <v>216</v>
      </c>
      <c r="C49" s="8"/>
      <c r="D49" s="8" t="s">
        <v>255</v>
      </c>
      <c r="E49" s="8" t="s">
        <v>200</v>
      </c>
      <c r="F49" s="8" t="s">
        <v>64</v>
      </c>
      <c r="G49" s="8" t="s">
        <v>22</v>
      </c>
      <c r="H49" s="8" t="s">
        <v>203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241</v>
      </c>
      <c r="C50" s="8"/>
      <c r="D50" s="8" t="s">
        <v>246</v>
      </c>
      <c r="E50" s="8" t="s">
        <v>242</v>
      </c>
      <c r="F50" s="8" t="s">
        <v>11</v>
      </c>
      <c r="G50" s="8" t="s">
        <v>22</v>
      </c>
      <c r="H50" s="8" t="s">
        <v>243</v>
      </c>
      <c r="I50" s="8">
        <v>5</v>
      </c>
      <c r="J50" s="8" t="s">
        <v>247</v>
      </c>
      <c r="K50" s="8" t="s">
        <v>79</v>
      </c>
      <c r="L50" s="8"/>
      <c r="M50" s="14"/>
    </row>
    <row r="51" spans="1:13" ht="40.5">
      <c r="A51" s="1">
        <v>36</v>
      </c>
      <c r="B51" s="8" t="s">
        <v>250</v>
      </c>
      <c r="C51" s="8"/>
      <c r="D51" s="8" t="s">
        <v>252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251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276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>
      <c r="A55" s="1"/>
      <c r="B55" s="8"/>
      <c r="C55" s="8"/>
      <c r="D55" s="8"/>
      <c r="E55" s="8"/>
      <c r="F55" s="2"/>
      <c r="G55" s="2"/>
      <c r="H55" s="2"/>
      <c r="I55" s="2"/>
      <c r="J55" s="2"/>
      <c r="K55" s="2"/>
      <c r="L55" s="2"/>
      <c r="M55" s="3"/>
    </row>
    <row r="56" spans="1:13">
      <c r="A56" s="1"/>
      <c r="B56" s="8"/>
      <c r="C56" s="8"/>
      <c r="D56" s="8"/>
      <c r="E56" s="8"/>
      <c r="F56" s="2"/>
      <c r="G56" s="2"/>
      <c r="H56" s="2"/>
      <c r="I56" s="2"/>
      <c r="J56" s="2"/>
      <c r="K56" s="2"/>
      <c r="L56" s="2"/>
      <c r="M56" s="3"/>
    </row>
    <row r="57" spans="1:13">
      <c r="A57" s="1"/>
      <c r="B57" s="8"/>
      <c r="C57" s="8"/>
      <c r="D57" s="8"/>
      <c r="E57" s="8"/>
      <c r="F57" s="2"/>
      <c r="G57" s="2"/>
      <c r="H57" s="2"/>
      <c r="I57" s="2"/>
      <c r="J57" s="2"/>
      <c r="K57" s="2"/>
      <c r="L57" s="2"/>
      <c r="M57" s="3"/>
    </row>
    <row r="58" spans="1:13">
      <c r="A58" s="1"/>
      <c r="B58" s="8"/>
      <c r="C58" s="8"/>
      <c r="D58" s="8"/>
      <c r="E58" s="8"/>
      <c r="F58" s="2"/>
      <c r="G58" s="2"/>
      <c r="H58" s="2"/>
      <c r="I58" s="2"/>
      <c r="J58" s="2"/>
      <c r="K58" s="2"/>
      <c r="L58" s="2"/>
      <c r="M58" s="3"/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51" priority="173" stopIfTrue="1">
      <formula>$K9="HANG-UP"</formula>
    </cfRule>
    <cfRule type="expression" dxfId="150" priority="174" stopIfTrue="1">
      <formula>$K9="PLAN"</formula>
    </cfRule>
    <cfRule type="expression" dxfId="149" priority="175" stopIfTrue="1">
      <formula>$K9="OPEN"</formula>
    </cfRule>
    <cfRule type="expression" dxfId="148" priority="176" stopIfTrue="1">
      <formula>OR($K9="CLOSED",$K9="CANCEL")</formula>
    </cfRule>
  </conditionalFormatting>
  <conditionalFormatting sqref="A10:M10">
    <cfRule type="expression" dxfId="147" priority="169" stopIfTrue="1">
      <formula>$K10="HANG-UP"</formula>
    </cfRule>
    <cfRule type="expression" dxfId="146" priority="170" stopIfTrue="1">
      <formula>$K10="PLAN"</formula>
    </cfRule>
    <cfRule type="expression" dxfId="145" priority="171" stopIfTrue="1">
      <formula>$K10="OPEN"</formula>
    </cfRule>
    <cfRule type="expression" dxfId="144" priority="172" stopIfTrue="1">
      <formula>OR($K10="CLOSED",$K10="CANCEL")</formula>
    </cfRule>
  </conditionalFormatting>
  <conditionalFormatting sqref="A11:M11">
    <cfRule type="expression" dxfId="143" priority="165" stopIfTrue="1">
      <formula>$K11="HANG-UP"</formula>
    </cfRule>
    <cfRule type="expression" dxfId="142" priority="166" stopIfTrue="1">
      <formula>$K11="PLAN"</formula>
    </cfRule>
    <cfRule type="expression" dxfId="141" priority="167" stopIfTrue="1">
      <formula>$K11="OPEN"</formula>
    </cfRule>
    <cfRule type="expression" dxfId="140" priority="168" stopIfTrue="1">
      <formula>OR($K11="CLOSED",$K11="CANCEL")</formula>
    </cfRule>
  </conditionalFormatting>
  <conditionalFormatting sqref="A12:M12">
    <cfRule type="expression" dxfId="139" priority="161" stopIfTrue="1">
      <formula>$K12="HANG-UP"</formula>
    </cfRule>
    <cfRule type="expression" dxfId="138" priority="162" stopIfTrue="1">
      <formula>$K12="PLAN"</formula>
    </cfRule>
    <cfRule type="expression" dxfId="137" priority="163" stopIfTrue="1">
      <formula>$K12="OPEN"</formula>
    </cfRule>
    <cfRule type="expression" dxfId="136" priority="164" stopIfTrue="1">
      <formula>OR($K12="CLOSED",$K12="CANCEL")</formula>
    </cfRule>
  </conditionalFormatting>
  <conditionalFormatting sqref="A13:M13">
    <cfRule type="expression" dxfId="135" priority="157" stopIfTrue="1">
      <formula>$K13="HANG-UP"</formula>
    </cfRule>
    <cfRule type="expression" dxfId="134" priority="158" stopIfTrue="1">
      <formula>$K13="PLAN"</formula>
    </cfRule>
    <cfRule type="expression" dxfId="133" priority="159" stopIfTrue="1">
      <formula>$K13="OPEN"</formula>
    </cfRule>
    <cfRule type="expression" dxfId="132" priority="160" stopIfTrue="1">
      <formula>OR($K13="CLOSED",$K13="CANCEL")</formula>
    </cfRule>
  </conditionalFormatting>
  <conditionalFormatting sqref="A14:M14">
    <cfRule type="expression" dxfId="131" priority="153" stopIfTrue="1">
      <formula>$K14="HANG-UP"</formula>
    </cfRule>
    <cfRule type="expression" dxfId="130" priority="154" stopIfTrue="1">
      <formula>$K14="PLAN"</formula>
    </cfRule>
    <cfRule type="expression" dxfId="129" priority="155" stopIfTrue="1">
      <formula>$K14="OPEN"</formula>
    </cfRule>
    <cfRule type="expression" dxfId="128" priority="156" stopIfTrue="1">
      <formula>OR($K14="CLOSED",$K14="CANCEL")</formula>
    </cfRule>
  </conditionalFormatting>
  <conditionalFormatting sqref="A15:M15">
    <cfRule type="expression" dxfId="127" priority="149" stopIfTrue="1">
      <formula>$K15="HANG-UP"</formula>
    </cfRule>
    <cfRule type="expression" dxfId="126" priority="150" stopIfTrue="1">
      <formula>$K15="PLAN"</formula>
    </cfRule>
    <cfRule type="expression" dxfId="125" priority="151" stopIfTrue="1">
      <formula>$K15="OPEN"</formula>
    </cfRule>
    <cfRule type="expression" dxfId="124" priority="152" stopIfTrue="1">
      <formula>OR($K15="CLOSED",$K15="CANCEL")</formula>
    </cfRule>
  </conditionalFormatting>
  <conditionalFormatting sqref="A16:M16">
    <cfRule type="expression" dxfId="123" priority="145" stopIfTrue="1">
      <formula>$K16="HANG-UP"</formula>
    </cfRule>
    <cfRule type="expression" dxfId="122" priority="146" stopIfTrue="1">
      <formula>$K16="PLAN"</formula>
    </cfRule>
    <cfRule type="expression" dxfId="121" priority="147" stopIfTrue="1">
      <formula>$K16="OPEN"</formula>
    </cfRule>
    <cfRule type="expression" dxfId="120" priority="148" stopIfTrue="1">
      <formula>OR($K16="CLOSED",$K16="CANCEL")</formula>
    </cfRule>
  </conditionalFormatting>
  <conditionalFormatting sqref="A17:M17">
    <cfRule type="expression" dxfId="119" priority="141" stopIfTrue="1">
      <formula>$K17="HANG-UP"</formula>
    </cfRule>
    <cfRule type="expression" dxfId="118" priority="142" stopIfTrue="1">
      <formula>$K17="PLAN"</formula>
    </cfRule>
    <cfRule type="expression" dxfId="117" priority="143" stopIfTrue="1">
      <formula>$K17="OPEN"</formula>
    </cfRule>
    <cfRule type="expression" dxfId="116" priority="144" stopIfTrue="1">
      <formula>OR($K17="CLOSED",$K17="CANCEL")</formula>
    </cfRule>
  </conditionalFormatting>
  <conditionalFormatting sqref="A18:M18">
    <cfRule type="expression" dxfId="115" priority="137" stopIfTrue="1">
      <formula>$K18="HANG-UP"</formula>
    </cfRule>
    <cfRule type="expression" dxfId="114" priority="138" stopIfTrue="1">
      <formula>$K18="PLAN"</formula>
    </cfRule>
    <cfRule type="expression" dxfId="113" priority="139" stopIfTrue="1">
      <formula>$K18="OPEN"</formula>
    </cfRule>
    <cfRule type="expression" dxfId="112" priority="140" stopIfTrue="1">
      <formula>OR($K18="CLOSED",$K18="CANCEL")</formula>
    </cfRule>
  </conditionalFormatting>
  <conditionalFormatting sqref="A19:M19">
    <cfRule type="expression" dxfId="111" priority="133" stopIfTrue="1">
      <formula>$K19="HANG-UP"</formula>
    </cfRule>
    <cfRule type="expression" dxfId="110" priority="134" stopIfTrue="1">
      <formula>$K19="PLAN"</formula>
    </cfRule>
    <cfRule type="expression" dxfId="109" priority="135" stopIfTrue="1">
      <formula>$K19="OPEN"</formula>
    </cfRule>
    <cfRule type="expression" dxfId="108" priority="136" stopIfTrue="1">
      <formula>OR($K19="CLOSED",$K19="CANCEL")</formula>
    </cfRule>
  </conditionalFormatting>
  <conditionalFormatting sqref="A20:M20">
    <cfRule type="expression" dxfId="107" priority="129" stopIfTrue="1">
      <formula>$K20="HANG-UP"</formula>
    </cfRule>
    <cfRule type="expression" dxfId="106" priority="130" stopIfTrue="1">
      <formula>$K20="PLAN"</formula>
    </cfRule>
    <cfRule type="expression" dxfId="105" priority="131" stopIfTrue="1">
      <formula>$K20="OPEN"</formula>
    </cfRule>
    <cfRule type="expression" dxfId="104" priority="132" stopIfTrue="1">
      <formula>OR($K20="CLOSED",$K20="CANCEL")</formula>
    </cfRule>
  </conditionalFormatting>
  <conditionalFormatting sqref="A21:M21">
    <cfRule type="expression" dxfId="103" priority="125" stopIfTrue="1">
      <formula>$K21="HANG-UP"</formula>
    </cfRule>
    <cfRule type="expression" dxfId="102" priority="126" stopIfTrue="1">
      <formula>$K21="PLAN"</formula>
    </cfRule>
    <cfRule type="expression" dxfId="101" priority="127" stopIfTrue="1">
      <formula>$K21="OPEN"</formula>
    </cfRule>
    <cfRule type="expression" dxfId="100" priority="128" stopIfTrue="1">
      <formula>OR($K21="CLOSED",$K21="CANCEL")</formula>
    </cfRule>
  </conditionalFormatting>
  <conditionalFormatting sqref="A22:M23">
    <cfRule type="expression" dxfId="99" priority="121" stopIfTrue="1">
      <formula>$K22="HANG-UP"</formula>
    </cfRule>
    <cfRule type="expression" dxfId="98" priority="122" stopIfTrue="1">
      <formula>$K22="PLAN"</formula>
    </cfRule>
    <cfRule type="expression" dxfId="97" priority="123" stopIfTrue="1">
      <formula>$K22="OPEN"</formula>
    </cfRule>
    <cfRule type="expression" dxfId="96" priority="124" stopIfTrue="1">
      <formula>OR($K22="CLOSED",$K22="CANCEL")</formula>
    </cfRule>
  </conditionalFormatting>
  <conditionalFormatting sqref="B22:I22">
    <cfRule type="expression" dxfId="95" priority="117" stopIfTrue="1">
      <formula>$K22="HANG-UP"</formula>
    </cfRule>
    <cfRule type="expression" dxfId="94" priority="118" stopIfTrue="1">
      <formula>$K22="PLAN"</formula>
    </cfRule>
    <cfRule type="expression" dxfId="93" priority="119" stopIfTrue="1">
      <formula>$K22="OPEN"</formula>
    </cfRule>
    <cfRule type="expression" dxfId="92" priority="120" stopIfTrue="1">
      <formula>OR($K22="CLOSED",$K22="CANCEL")</formula>
    </cfRule>
  </conditionalFormatting>
  <conditionalFormatting sqref="B23">
    <cfRule type="expression" dxfId="91" priority="113" stopIfTrue="1">
      <formula>$K23="HANG-UP"</formula>
    </cfRule>
    <cfRule type="expression" dxfId="90" priority="114" stopIfTrue="1">
      <formula>$K23="PLAN"</formula>
    </cfRule>
    <cfRule type="expression" dxfId="89" priority="115" stopIfTrue="1">
      <formula>$K23="OPEN"</formula>
    </cfRule>
    <cfRule type="expression" dxfId="88" priority="116" stopIfTrue="1">
      <formula>OR($K23="CLOSED",$K23="CANCEL")</formula>
    </cfRule>
  </conditionalFormatting>
  <conditionalFormatting sqref="A24:M25">
    <cfRule type="expression" dxfId="87" priority="109" stopIfTrue="1">
      <formula>$K24="HANG-UP"</formula>
    </cfRule>
    <cfRule type="expression" dxfId="86" priority="110" stopIfTrue="1">
      <formula>$K24="PLAN"</formula>
    </cfRule>
    <cfRule type="expression" dxfId="85" priority="111" stopIfTrue="1">
      <formula>$K24="OPEN"</formula>
    </cfRule>
    <cfRule type="expression" dxfId="84" priority="112" stopIfTrue="1">
      <formula>OR($K24="CLOSED",$K24="CANCEL")</formula>
    </cfRule>
  </conditionalFormatting>
  <conditionalFormatting sqref="B25">
    <cfRule type="expression" dxfId="83" priority="105" stopIfTrue="1">
      <formula>$K25="HANG-UP"</formula>
    </cfRule>
    <cfRule type="expression" dxfId="82" priority="106" stopIfTrue="1">
      <formula>$K25="PLAN"</formula>
    </cfRule>
    <cfRule type="expression" dxfId="81" priority="107" stopIfTrue="1">
      <formula>$K25="OPEN"</formula>
    </cfRule>
    <cfRule type="expression" dxfId="80" priority="108" stopIfTrue="1">
      <formula>OR($K25="CLOSED",$K25="CANCEL")</formula>
    </cfRule>
  </conditionalFormatting>
  <conditionalFormatting sqref="A26:M26">
    <cfRule type="expression" dxfId="79" priority="101" stopIfTrue="1">
      <formula>$K26="HANG-UP"</formula>
    </cfRule>
    <cfRule type="expression" dxfId="78" priority="102" stopIfTrue="1">
      <formula>$K26="PLAN"</formula>
    </cfRule>
    <cfRule type="expression" dxfId="77" priority="103" stopIfTrue="1">
      <formula>$K26="OPEN"</formula>
    </cfRule>
    <cfRule type="expression" dxfId="76" priority="104" stopIfTrue="1">
      <formula>OR($K26="CLOSED",$K26="CANCEL")</formula>
    </cfRule>
  </conditionalFormatting>
  <conditionalFormatting sqref="A27:M28">
    <cfRule type="expression" dxfId="75" priority="97" stopIfTrue="1">
      <formula>$K27="HANG-UP"</formula>
    </cfRule>
    <cfRule type="expression" dxfId="74" priority="98" stopIfTrue="1">
      <formula>$K27="PLAN"</formula>
    </cfRule>
    <cfRule type="expression" dxfId="73" priority="99" stopIfTrue="1">
      <formula>$K27="OPEN"</formula>
    </cfRule>
    <cfRule type="expression" dxfId="72" priority="100" stopIfTrue="1">
      <formula>OR($K27="CLOSED",$K27="CANCEL")</formula>
    </cfRule>
  </conditionalFormatting>
  <conditionalFormatting sqref="A29:M30">
    <cfRule type="expression" dxfId="71" priority="93" stopIfTrue="1">
      <formula>$K29="HANG-UP"</formula>
    </cfRule>
    <cfRule type="expression" dxfId="70" priority="94" stopIfTrue="1">
      <formula>$K29="PLAN"</formula>
    </cfRule>
    <cfRule type="expression" dxfId="69" priority="95" stopIfTrue="1">
      <formula>$K29="OPEN"</formula>
    </cfRule>
    <cfRule type="expression" dxfId="68" priority="96" stopIfTrue="1">
      <formula>OR($K29="CLOSED",$K29="CANCEL")</formula>
    </cfRule>
  </conditionalFormatting>
  <conditionalFormatting sqref="A29:M29">
    <cfRule type="expression" dxfId="67" priority="89" stopIfTrue="1">
      <formula>$K29="HANG-UP"</formula>
    </cfRule>
    <cfRule type="expression" dxfId="66" priority="90" stopIfTrue="1">
      <formula>$K29="PLAN"</formula>
    </cfRule>
    <cfRule type="expression" dxfId="65" priority="91" stopIfTrue="1">
      <formula>$K29="OPEN"</formula>
    </cfRule>
    <cfRule type="expression" dxfId="64" priority="92" stopIfTrue="1">
      <formula>OR($K29="CLOSED",$K29="CANCEL")</formula>
    </cfRule>
  </conditionalFormatting>
  <conditionalFormatting sqref="A31:M31">
    <cfRule type="expression" dxfId="63" priority="85" stopIfTrue="1">
      <formula>$K31="HANG-UP"</formula>
    </cfRule>
    <cfRule type="expression" dxfId="62" priority="86" stopIfTrue="1">
      <formula>$K31="PLAN"</formula>
    </cfRule>
    <cfRule type="expression" dxfId="61" priority="87" stopIfTrue="1">
      <formula>$K31="OPEN"</formula>
    </cfRule>
    <cfRule type="expression" dxfId="60" priority="88" stopIfTrue="1">
      <formula>OR($K31="CLOSED",$K31="CANCEL")</formula>
    </cfRule>
  </conditionalFormatting>
  <conditionalFormatting sqref="A38:M38">
    <cfRule type="expression" dxfId="59" priority="57" stopIfTrue="1">
      <formula>$K38="HANG-UP"</formula>
    </cfRule>
    <cfRule type="expression" dxfId="58" priority="58" stopIfTrue="1">
      <formula>$K38="PLAN"</formula>
    </cfRule>
    <cfRule type="expression" dxfId="57" priority="59" stopIfTrue="1">
      <formula>$K38="OPEN"</formula>
    </cfRule>
    <cfRule type="expression" dxfId="56" priority="60" stopIfTrue="1">
      <formula>OR($K38="CLOSED",$K38="CANCEL")</formula>
    </cfRule>
  </conditionalFormatting>
  <conditionalFormatting sqref="A39:M39">
    <cfRule type="expression" dxfId="55" priority="53" stopIfTrue="1">
      <formula>$K39="HANG-UP"</formula>
    </cfRule>
    <cfRule type="expression" dxfId="54" priority="54" stopIfTrue="1">
      <formula>$K39="PLAN"</formula>
    </cfRule>
    <cfRule type="expression" dxfId="53" priority="55" stopIfTrue="1">
      <formula>$K39="OPEN"</formula>
    </cfRule>
    <cfRule type="expression" dxfId="52" priority="56" stopIfTrue="1">
      <formula>OR($K39="CLOSED",$K39="CANCEL")</formula>
    </cfRule>
  </conditionalFormatting>
  <conditionalFormatting sqref="A40:M40">
    <cfRule type="expression" dxfId="51" priority="49" stopIfTrue="1">
      <formula>$K40="HANG-UP"</formula>
    </cfRule>
    <cfRule type="expression" dxfId="50" priority="50" stopIfTrue="1">
      <formula>$K40="PLAN"</formula>
    </cfRule>
    <cfRule type="expression" dxfId="49" priority="51" stopIfTrue="1">
      <formula>$K40="OPEN"</formula>
    </cfRule>
    <cfRule type="expression" dxfId="48" priority="52" stopIfTrue="1">
      <formula>OR($K40="CLOSED",$K40="CANCEL")</formula>
    </cfRule>
  </conditionalFormatting>
  <conditionalFormatting sqref="A41:M41">
    <cfRule type="expression" dxfId="47" priority="45" stopIfTrue="1">
      <formula>$K41="HANG-UP"</formula>
    </cfRule>
    <cfRule type="expression" dxfId="46" priority="46" stopIfTrue="1">
      <formula>$K41="PLAN"</formula>
    </cfRule>
    <cfRule type="expression" dxfId="45" priority="47" stopIfTrue="1">
      <formula>$K41="OPEN"</formula>
    </cfRule>
    <cfRule type="expression" dxfId="44" priority="48" stopIfTrue="1">
      <formula>OR($K41="CLOSED",$K41="CANCEL")</formula>
    </cfRule>
  </conditionalFormatting>
  <conditionalFormatting sqref="A42:M42">
    <cfRule type="expression" dxfId="43" priority="41" stopIfTrue="1">
      <formula>$K42="HANG-UP"</formula>
    </cfRule>
    <cfRule type="expression" dxfId="42" priority="42" stopIfTrue="1">
      <formula>$K42="PLAN"</formula>
    </cfRule>
    <cfRule type="expression" dxfId="41" priority="43" stopIfTrue="1">
      <formula>$K42="OPEN"</formula>
    </cfRule>
    <cfRule type="expression" dxfId="40" priority="44" stopIfTrue="1">
      <formula>OR($K42="CLOSED",$K42="CANCEL")</formula>
    </cfRule>
  </conditionalFormatting>
  <conditionalFormatting sqref="A43:M44">
    <cfRule type="expression" dxfId="39" priority="37" stopIfTrue="1">
      <formula>$K43="HANG-UP"</formula>
    </cfRule>
    <cfRule type="expression" dxfId="38" priority="38" stopIfTrue="1">
      <formula>$K43="PLAN"</formula>
    </cfRule>
    <cfRule type="expression" dxfId="37" priority="39" stopIfTrue="1">
      <formula>$K43="OPEN"</formula>
    </cfRule>
    <cfRule type="expression" dxfId="36" priority="40" stopIfTrue="1">
      <formula>OR($K43="CLOSED",$K43="CANCEL")</formula>
    </cfRule>
  </conditionalFormatting>
  <conditionalFormatting sqref="A45:M46">
    <cfRule type="expression" dxfId="35" priority="33" stopIfTrue="1">
      <formula>$K45="HANG-UP"</formula>
    </cfRule>
    <cfRule type="expression" dxfId="34" priority="34" stopIfTrue="1">
      <formula>$K45="PLAN"</formula>
    </cfRule>
    <cfRule type="expression" dxfId="33" priority="35" stopIfTrue="1">
      <formula>$K45="OPEN"</formula>
    </cfRule>
    <cfRule type="expression" dxfId="32" priority="36" stopIfTrue="1">
      <formula>OR($K45="CLOSED",$K45="CANCEL")</formula>
    </cfRule>
  </conditionalFormatting>
  <conditionalFormatting sqref="A47:M47">
    <cfRule type="expression" dxfId="31" priority="29" stopIfTrue="1">
      <formula>$K47="HANG-UP"</formula>
    </cfRule>
    <cfRule type="expression" dxfId="30" priority="30" stopIfTrue="1">
      <formula>$K47="PLAN"</formula>
    </cfRule>
    <cfRule type="expression" dxfId="29" priority="31" stopIfTrue="1">
      <formula>$K47="OPEN"</formula>
    </cfRule>
    <cfRule type="expression" dxfId="28" priority="32" stopIfTrue="1">
      <formula>OR($K47="CLOSED",$K47="CANCEL")</formula>
    </cfRule>
  </conditionalFormatting>
  <conditionalFormatting sqref="A48:M48">
    <cfRule type="expression" dxfId="27" priority="25" stopIfTrue="1">
      <formula>$K48="HANG-UP"</formula>
    </cfRule>
    <cfRule type="expression" dxfId="26" priority="26" stopIfTrue="1">
      <formula>$K48="PLAN"</formula>
    </cfRule>
    <cfRule type="expression" dxfId="25" priority="27" stopIfTrue="1">
      <formula>$K48="OPEN"</formula>
    </cfRule>
    <cfRule type="expression" dxfId="24" priority="28" stopIfTrue="1">
      <formula>OR($K48="CLOSED",$K48="CANCEL")</formula>
    </cfRule>
  </conditionalFormatting>
  <conditionalFormatting sqref="A49:M49">
    <cfRule type="expression" dxfId="23" priority="21" stopIfTrue="1">
      <formula>$K49="HANG-UP"</formula>
    </cfRule>
    <cfRule type="expression" dxfId="22" priority="22" stopIfTrue="1">
      <formula>$K49="PLAN"</formula>
    </cfRule>
    <cfRule type="expression" dxfId="21" priority="23" stopIfTrue="1">
      <formula>$K49="OPEN"</formula>
    </cfRule>
    <cfRule type="expression" dxfId="20" priority="24" stopIfTrue="1">
      <formula>OR($K49="CLOSED",$K49="CANCEL")</formula>
    </cfRule>
  </conditionalFormatting>
  <conditionalFormatting sqref="A50:M50">
    <cfRule type="expression" dxfId="19" priority="17" stopIfTrue="1">
      <formula>$K50="HANG-UP"</formula>
    </cfRule>
    <cfRule type="expression" dxfId="18" priority="18" stopIfTrue="1">
      <formula>$K50="PLAN"</formula>
    </cfRule>
    <cfRule type="expression" dxfId="17" priority="19" stopIfTrue="1">
      <formula>$K50="OPEN"</formula>
    </cfRule>
    <cfRule type="expression" dxfId="16" priority="20" stopIfTrue="1">
      <formula>OR($K50="CLOSED",$K50="CANCEL")</formula>
    </cfRule>
  </conditionalFormatting>
  <conditionalFormatting sqref="A51:M51">
    <cfRule type="expression" dxfId="15" priority="13" stopIfTrue="1">
      <formula>$K51="HANG-UP"</formula>
    </cfRule>
    <cfRule type="expression" dxfId="14" priority="14" stopIfTrue="1">
      <formula>$K51="PLAN"</formula>
    </cfRule>
    <cfRule type="expression" dxfId="13" priority="15" stopIfTrue="1">
      <formula>$K51="OPEN"</formula>
    </cfRule>
    <cfRule type="expression" dxfId="12" priority="16" stopIfTrue="1">
      <formula>OR($K51="CLOSED",$K51="CANCEL")</formula>
    </cfRule>
  </conditionalFormatting>
  <conditionalFormatting sqref="A52:M52">
    <cfRule type="expression" dxfId="11" priority="9" stopIfTrue="1">
      <formula>$K52="HANG-UP"</formula>
    </cfRule>
    <cfRule type="expression" dxfId="10" priority="10" stopIfTrue="1">
      <formula>$K52="PLAN"</formula>
    </cfRule>
    <cfRule type="expression" dxfId="9" priority="11" stopIfTrue="1">
      <formula>$K52="OPEN"</formula>
    </cfRule>
    <cfRule type="expression" dxfId="8" priority="12" stopIfTrue="1">
      <formula>OR($K52="CLOSED",$K52="CANCEL")</formula>
    </cfRule>
  </conditionalFormatting>
  <conditionalFormatting sqref="A53:M53">
    <cfRule type="expression" dxfId="7" priority="5" stopIfTrue="1">
      <formula>$K53="HANG-UP"</formula>
    </cfRule>
    <cfRule type="expression" dxfId="6" priority="6" stopIfTrue="1">
      <formula>$K53="PLAN"</formula>
    </cfRule>
    <cfRule type="expression" dxfId="5" priority="7" stopIfTrue="1">
      <formula>$K53="OPEN"</formula>
    </cfRule>
    <cfRule type="expression" dxfId="4" priority="8" stopIfTrue="1">
      <formula>OR($K53="CLOSED",$K53="CANCEL")</formula>
    </cfRule>
  </conditionalFormatting>
  <conditionalFormatting sqref="A54:M54">
    <cfRule type="expression" dxfId="3" priority="1" stopIfTrue="1">
      <formula>$K54="HANG-UP"</formula>
    </cfRule>
    <cfRule type="expression" dxfId="2" priority="2" stopIfTrue="1">
      <formula>$K54="PLAN"</formula>
    </cfRule>
    <cfRule type="expression" dxfId="1" priority="3" stopIfTrue="1">
      <formula>$K54="OPEN"</formula>
    </cfRule>
    <cfRule type="expression" dxfId="0" priority="4" stopIfTrue="1">
      <formula>OR($K54="CLOSED",$K54="CANCEL")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2015-03-25T08:53:04Z</dcterms:modified>
</cp:coreProperties>
</file>